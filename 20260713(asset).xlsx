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블로그\용쨔푸리의 블로그세상\우리집-통합-재정-대시보드\"/>
    </mc:Choice>
  </mc:AlternateContent>
  <bookViews>
    <workbookView xWindow="240" yWindow="15" windowWidth="16095" windowHeight="9660" activeTab="1"/>
  </bookViews>
  <sheets>
    <sheet name="뱅샐현황(재은)" sheetId="2" r:id="rId1"/>
    <sheet name="뱅샐현황(영범)" sheetId="1" r:id="rId2"/>
  </sheets>
  <calcPr calcId="162913"/>
</workbook>
</file>

<file path=xl/calcChain.xml><?xml version="1.0" encoding="utf-8"?>
<calcChain xmlns="http://schemas.openxmlformats.org/spreadsheetml/2006/main">
  <c r="K5" i="1" l="1"/>
  <c r="L5" i="1"/>
  <c r="G89" i="2" l="1"/>
  <c r="F89" i="2"/>
  <c r="D89" i="2"/>
  <c r="H81" i="2"/>
  <c r="G81" i="2"/>
  <c r="F81" i="2"/>
  <c r="F67" i="2"/>
  <c r="I54" i="2"/>
  <c r="E54" i="2"/>
  <c r="B56" i="2" l="1"/>
  <c r="G68" i="1"/>
  <c r="F68" i="1"/>
  <c r="D68" i="1"/>
  <c r="H61" i="1"/>
  <c r="G61" i="1"/>
  <c r="F61" i="1"/>
  <c r="F53" i="1"/>
  <c r="I39" i="1"/>
  <c r="E39" i="1"/>
  <c r="B41" i="1" s="1"/>
</calcChain>
</file>

<file path=xl/sharedStrings.xml><?xml version="1.0" encoding="utf-8"?>
<sst xmlns="http://schemas.openxmlformats.org/spreadsheetml/2006/main" count="280" uniqueCount="143">
  <si>
    <t>항목</t>
  </si>
  <si>
    <t>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</si>
  <si>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</si>
  <si>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</si>
  <si>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</si>
  <si>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</si>
  <si>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</si>
  <si>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</si>
  <si>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</si>
  <si>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 Star*t통장-저축예금</t>
  </si>
  <si>
    <t>KB Wise통장-저축예금</t>
  </si>
  <si>
    <t>KB국민ONE통장-저축예금</t>
  </si>
  <si>
    <t>MY 입출금통장</t>
  </si>
  <si>
    <t>NH주거래우대통장</t>
  </si>
  <si>
    <t>U드림 저축예금 (인터넷전용)</t>
  </si>
  <si>
    <t>WON 통장</t>
  </si>
  <si>
    <t>입출금통장</t>
  </si>
  <si>
    <t>저금통</t>
  </si>
  <si>
    <t>신탁 자산</t>
  </si>
  <si>
    <t>현금 자산</t>
  </si>
  <si>
    <t>현금</t>
  </si>
  <si>
    <t>저축성 자산</t>
  </si>
  <si>
    <t>NH올원e적금</t>
  </si>
  <si>
    <t>전자금융 자산</t>
  </si>
  <si>
    <t>네이버페이 머니 - ybnj****</t>
  </si>
  <si>
    <t>네이버페이 머니 - tom1****</t>
  </si>
  <si>
    <t>카카오페이 머니 - 010*****427</t>
  </si>
  <si>
    <t>토스머니</t>
  </si>
  <si>
    <t>투자성 자산</t>
  </si>
  <si>
    <t>TIGER 미국S&amp;P500</t>
  </si>
  <si>
    <t>KODEX 차이나테크TOP10</t>
  </si>
  <si>
    <t>100세연금저축펀드</t>
  </si>
  <si>
    <t>CMA계좌</t>
  </si>
  <si>
    <t>기본계좌</t>
  </si>
  <si>
    <t>종합매매</t>
  </si>
  <si>
    <t>종합위탁</t>
  </si>
  <si>
    <t>중개형ISA</t>
  </si>
  <si>
    <t>부동산</t>
  </si>
  <si>
    <t>동산</t>
  </si>
  <si>
    <t>기타 실물 자산</t>
  </si>
  <si>
    <t>보험 자산</t>
  </si>
  <si>
    <t>올인원암_1종처음끝(순수,무)</t>
  </si>
  <si>
    <t>무배당 삼성화재 다이렉트 실손의료비보험(2304.3)</t>
  </si>
  <si>
    <t>삼성생명 실속든든종신보험 (무배당)</t>
  </si>
  <si>
    <t>삼성생명 New퍼펙트상해보험(재가입형,무배당)</t>
  </si>
  <si>
    <t>애니카다이렉트_개인용</t>
  </si>
  <si>
    <t>연금 자산</t>
  </si>
  <si>
    <t>장기대출</t>
  </si>
  <si>
    <t>(주택자금)NH주택담보대출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</si>
  <si>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</si>
  <si>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</si>
  <si>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</si>
  <si>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</si>
  <si>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</si>
  <si>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</si>
  <si>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</si>
  <si>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</si>
  <si>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</si>
  <si>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</si>
  <si>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</si>
  <si>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삼성생명</t>
  </si>
  <si>
    <t>정상</t>
  </si>
  <si>
    <t>삼성화재</t>
  </si>
  <si>
    <t>보유계약건수</t>
  </si>
  <si>
    <t>정상 5건</t>
  </si>
  <si>
    <t>총 납입금</t>
  </si>
  <si>
    <t>총 5건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</si>
  <si>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</si>
  <si>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</si>
  <si>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</si>
  <si>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</si>
  <si>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</si>
  <si>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</si>
  <si>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</si>
  <si>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</si>
  <si>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</si>
  <si>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</si>
  <si>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보유상품개수</t>
  </si>
  <si>
    <t>총 투자 원금</t>
  </si>
  <si>
    <t>총 평가 금액</t>
  </si>
  <si>
    <t>총 수익률</t>
  </si>
  <si>
    <t>총 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</si>
  <si>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</si>
  <si>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</si>
  <si>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</si>
  <si>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</si>
  <si>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</si>
  <si>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</si>
  <si>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</si>
  <si>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</si>
  <si>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</si>
  <si>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농협은행</t>
  </si>
  <si>
    <t>보유 대출 상품</t>
  </si>
  <si>
    <t>총 대출 원금</t>
  </si>
  <si>
    <t>총 대출 잔액</t>
  </si>
  <si>
    <t>종합매매</t>
    <phoneticPr fontId="4" type="noConversion"/>
  </si>
  <si>
    <t>KB스타통장-저축예금</t>
  </si>
  <si>
    <t>회사대출</t>
  </si>
  <si>
    <t>우리은행 마이너스 통장</t>
  </si>
  <si>
    <t>Sh내가만든통장(스페셜플러스예금)</t>
  </si>
  <si>
    <t>세이프박스</t>
  </si>
  <si>
    <t>우리직장인재테크 저축예금(수수료우대형</t>
  </si>
  <si>
    <t>토스뱅크 통장</t>
  </si>
  <si>
    <t>하나멤버스 주거래통장</t>
  </si>
  <si>
    <t>네이버페이 머니 - bis0****</t>
  </si>
  <si>
    <t>카카오페이 머니 - 010*****187</t>
  </si>
  <si>
    <t>페이코포인트 - bi*****@naver.com</t>
  </si>
  <si>
    <t>미래에셋전략배분TDF솔루션혼합자산자투자신탁C-Pe</t>
  </si>
  <si>
    <t>한국신종개인용MMF3호_C-P</t>
  </si>
  <si>
    <t>한국전력</t>
  </si>
  <si>
    <t>퀀텀 컴퓨팅</t>
  </si>
  <si>
    <t>메타</t>
  </si>
  <si>
    <t>팔란티어</t>
  </si>
  <si>
    <t>금융상품</t>
  </si>
  <si>
    <t>밸런스 CMA</t>
  </si>
  <si>
    <t>연금저축</t>
  </si>
  <si>
    <t>위탁계좌</t>
  </si>
  <si>
    <t>종합투자상품</t>
  </si>
  <si>
    <t>보증금</t>
  </si>
  <si>
    <t>무배당 삼성 올라이프 보장보험(0710.5)</t>
  </si>
  <si>
    <t>무배당 삼성화재 통합보험 수퍼플러스(1202)라이프+</t>
  </si>
  <si>
    <t>무배당굿앤굿어린이종합보험Q(Hi2309)1종(표준형)기본플랜</t>
  </si>
  <si>
    <t>무배당실손의료비보장보험(갱신형)(Hi2307)기본플랜</t>
  </si>
  <si>
    <t>현대해상</t>
  </si>
  <si>
    <t>정상 4건</t>
  </si>
  <si>
    <t>총 4건</t>
  </si>
  <si>
    <t>펀드</t>
  </si>
  <si>
    <t>한국투자증권</t>
  </si>
  <si>
    <t>토스증권</t>
  </si>
  <si>
    <t>총 8개</t>
  </si>
  <si>
    <t>기타은행</t>
  </si>
  <si>
    <t>우리은행</t>
  </si>
  <si>
    <t>입출금통장1</t>
    <phoneticPr fontId="4" type="noConversion"/>
  </si>
  <si>
    <t>입출금통장3</t>
    <phoneticPr fontId="4" type="noConversion"/>
  </si>
  <si>
    <t>입출금통장2</t>
    <phoneticPr fontId="4" type="noConversion"/>
  </si>
  <si>
    <t>씨티원예금</t>
    <phoneticPr fontId="4" type="noConversion"/>
  </si>
  <si>
    <t>입출금통장4</t>
    <phoneticPr fontId="4" type="noConversion"/>
  </si>
  <si>
    <t>종합1</t>
    <phoneticPr fontId="4" type="noConversion"/>
  </si>
  <si>
    <t>종합2</t>
    <phoneticPr fontId="4" type="noConversion"/>
  </si>
  <si>
    <t>자립예탁금1</t>
    <phoneticPr fontId="4" type="noConversion"/>
  </si>
  <si>
    <t>자립예탁금2</t>
    <phoneticPr fontId="4" type="noConversion"/>
  </si>
  <si>
    <t>저축예금1</t>
    <phoneticPr fontId="4" type="noConversion"/>
  </si>
  <si>
    <t>저축예금2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</si>
</sst>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#,##0.00\ &quot;%&quot;\ 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3" fontId="0" fillId="0" borderId="7" xfId="0" applyNumberFormat="1" applyBorder="1"/>
    <xf numFmtId="0" fontId="2" fillId="0" borderId="7" xfId="0" applyFont="1" applyBorder="1" applyAlignment="1">
      <alignment horizontal="center" vertical="center"/>
    </xf>
    <xf numFmtId="3" fontId="0" fillId="0" borderId="8" xfId="0" applyNumberFormat="1" applyBorder="1"/>
    <xf numFmtId="0" fontId="0" fillId="0" borderId="8" xfId="0" applyBorder="1"/>
    <xf numFmtId="3" fontId="2" fillId="6" borderId="7" xfId="0" applyNumberFormat="1" applyFont="1" applyFill="1" applyBorder="1"/>
    <xf numFmtId="3" fontId="2" fillId="6" borderId="8" xfId="0" applyNumberFormat="1" applyFont="1" applyFill="1" applyBorder="1"/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3" fontId="0" fillId="0" borderId="13" xfId="0" applyNumberFormat="1" applyBorder="1"/>
    <xf numFmtId="176" fontId="0" fillId="0" borderId="2" xfId="0" applyNumberFormat="1" applyBorder="1"/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3" fontId="2" fillId="5" borderId="16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4" fontId="0" fillId="0" borderId="13" xfId="0" applyNumberFormat="1" applyBorder="1"/>
    <xf numFmtId="177" fontId="2" fillId="5" borderId="16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0" fillId="0" borderId="2" xfId="0" applyBorder="1"/>
    <xf numFmtId="3" fontId="2" fillId="5" borderId="16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7" xfId="0" applyBorder="1"/>
    <xf numFmtId="0" fontId="2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7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6" borderId="10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2" xfId="0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3" fontId="3" fillId="7" borderId="3" xfId="0" applyNumberFormat="1" applyFont="1" applyFill="1" applyBorder="1" applyAlignment="1">
      <alignment horizontal="center" vertical="center"/>
    </xf>
    <xf numFmtId="3" fontId="2" fillId="5" borderId="16" xfId="0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9"/>
  <sheetViews>
    <sheetView workbookViewId="0">
      <selection activeCell="E22" sqref="E5:E22"/>
    </sheetView>
  </sheetViews>
  <sheetFormatPr defaultRowHeight="16.5" x14ac:dyDescent="0.3"/>
  <cols>
    <col min="1" max="1" width="2.75" customWidth="1"/>
    <col min="2" max="18" width="16.75" customWidth="1"/>
  </cols>
  <sheetData>
    <row r="1" spans="2:9" ht="20.25" x14ac:dyDescent="0.3">
      <c r="B1" s="1" t="s">
        <v>2</v>
      </c>
    </row>
    <row r="2" spans="2:9" ht="17.25" thickBot="1" x14ac:dyDescent="0.35">
      <c r="B2" t="s">
        <v>3</v>
      </c>
    </row>
    <row r="3" spans="2:9" x14ac:dyDescent="0.3">
      <c r="B3" s="37" t="s">
        <v>4</v>
      </c>
      <c r="C3" s="37"/>
      <c r="D3" s="37"/>
      <c r="E3" s="37"/>
      <c r="F3" s="38" t="s">
        <v>5</v>
      </c>
      <c r="G3" s="38"/>
      <c r="H3" s="38"/>
      <c r="I3" s="38"/>
    </row>
    <row r="4" spans="2:9" x14ac:dyDescent="0.3">
      <c r="B4" s="2" t="s">
        <v>0</v>
      </c>
      <c r="C4" s="39" t="s">
        <v>6</v>
      </c>
      <c r="D4" s="39"/>
      <c r="E4" s="36" t="s">
        <v>7</v>
      </c>
      <c r="F4" s="36" t="s">
        <v>0</v>
      </c>
      <c r="G4" s="39" t="s">
        <v>6</v>
      </c>
      <c r="H4" s="39"/>
      <c r="I4" s="36" t="s">
        <v>7</v>
      </c>
    </row>
    <row r="5" spans="2:9" x14ac:dyDescent="0.3">
      <c r="B5" s="41" t="s">
        <v>8</v>
      </c>
      <c r="C5" s="40" t="s">
        <v>96</v>
      </c>
      <c r="D5" s="40"/>
      <c r="E5" s="6">
        <v>36092</v>
      </c>
      <c r="F5" s="42" t="s">
        <v>47</v>
      </c>
      <c r="G5" s="40" t="s">
        <v>97</v>
      </c>
      <c r="H5" s="40"/>
      <c r="I5" s="8">
        <v>47471370</v>
      </c>
    </row>
    <row r="6" spans="2:9" x14ac:dyDescent="0.3">
      <c r="B6" s="41"/>
      <c r="C6" s="40" t="s">
        <v>12</v>
      </c>
      <c r="D6" s="40"/>
      <c r="E6" s="6">
        <v>5</v>
      </c>
      <c r="F6" s="42"/>
      <c r="G6" s="40" t="s">
        <v>98</v>
      </c>
      <c r="H6" s="40"/>
      <c r="I6" s="8">
        <v>0</v>
      </c>
    </row>
    <row r="7" spans="2:9" x14ac:dyDescent="0.3">
      <c r="B7" s="41"/>
      <c r="C7" s="40" t="s">
        <v>99</v>
      </c>
      <c r="D7" s="40"/>
      <c r="E7" s="6">
        <v>9</v>
      </c>
      <c r="F7" s="34"/>
      <c r="G7" s="40"/>
      <c r="H7" s="40"/>
      <c r="I7" s="9"/>
    </row>
    <row r="8" spans="2:9" x14ac:dyDescent="0.3">
      <c r="B8" s="41"/>
      <c r="C8" s="40" t="s">
        <v>100</v>
      </c>
      <c r="D8" s="40"/>
      <c r="E8" s="6">
        <v>1844</v>
      </c>
      <c r="F8" s="34"/>
      <c r="G8" s="40"/>
      <c r="H8" s="40"/>
      <c r="I8" s="9"/>
    </row>
    <row r="9" spans="2:9" x14ac:dyDescent="0.3">
      <c r="B9" s="41"/>
      <c r="C9" s="40" t="s">
        <v>135</v>
      </c>
      <c r="D9" s="40"/>
      <c r="E9" s="6">
        <v>0</v>
      </c>
      <c r="F9" s="34"/>
      <c r="G9" s="40"/>
      <c r="H9" s="40"/>
      <c r="I9" s="9"/>
    </row>
    <row r="10" spans="2:9" x14ac:dyDescent="0.3">
      <c r="B10" s="41"/>
      <c r="C10" s="40" t="s">
        <v>101</v>
      </c>
      <c r="D10" s="40"/>
      <c r="E10" s="6">
        <v>2170345</v>
      </c>
      <c r="F10" s="34"/>
      <c r="G10" s="40"/>
      <c r="H10" s="40"/>
      <c r="I10" s="9"/>
    </row>
    <row r="11" spans="2:9" x14ac:dyDescent="0.3">
      <c r="B11" s="41"/>
      <c r="C11" s="40" t="s">
        <v>132</v>
      </c>
      <c r="D11" s="40"/>
      <c r="E11" s="6">
        <v>549</v>
      </c>
      <c r="F11" s="34"/>
      <c r="G11" s="40"/>
      <c r="H11" s="40"/>
      <c r="I11" s="9"/>
    </row>
    <row r="12" spans="2:9" x14ac:dyDescent="0.3">
      <c r="B12" s="41"/>
      <c r="C12" s="40" t="s">
        <v>134</v>
      </c>
      <c r="D12" s="40"/>
      <c r="E12" s="6">
        <v>1557980</v>
      </c>
      <c r="F12" s="34"/>
      <c r="G12" s="40"/>
      <c r="H12" s="40"/>
      <c r="I12" s="9"/>
    </row>
    <row r="13" spans="2:9" x14ac:dyDescent="0.3">
      <c r="B13" s="41"/>
      <c r="C13" s="40" t="s">
        <v>133</v>
      </c>
      <c r="D13" s="40"/>
      <c r="E13" s="6">
        <v>1009396</v>
      </c>
      <c r="F13" s="34"/>
      <c r="G13" s="40"/>
      <c r="H13" s="40"/>
      <c r="I13" s="9"/>
    </row>
    <row r="14" spans="2:9" x14ac:dyDescent="0.3">
      <c r="B14" s="41"/>
      <c r="C14" s="40" t="s">
        <v>136</v>
      </c>
      <c r="D14" s="40"/>
      <c r="E14" s="6">
        <v>2259542</v>
      </c>
      <c r="F14" s="34"/>
      <c r="G14" s="40"/>
      <c r="H14" s="40"/>
      <c r="I14" s="9"/>
    </row>
    <row r="15" spans="2:9" x14ac:dyDescent="0.3">
      <c r="B15" s="41"/>
      <c r="C15" s="40" t="s">
        <v>139</v>
      </c>
      <c r="D15" s="40"/>
      <c r="E15" s="6">
        <v>0</v>
      </c>
      <c r="F15" s="34"/>
      <c r="G15" s="40"/>
      <c r="H15" s="40"/>
      <c r="I15" s="9"/>
    </row>
    <row r="16" spans="2:9" x14ac:dyDescent="0.3">
      <c r="B16" s="41"/>
      <c r="C16" s="40" t="s">
        <v>140</v>
      </c>
      <c r="D16" s="40"/>
      <c r="E16" s="6">
        <v>4</v>
      </c>
      <c r="F16" s="34"/>
      <c r="G16" s="40"/>
      <c r="H16" s="40"/>
      <c r="I16" s="9"/>
    </row>
    <row r="17" spans="2:9" x14ac:dyDescent="0.3">
      <c r="B17" s="41"/>
      <c r="C17" s="40" t="s">
        <v>17</v>
      </c>
      <c r="D17" s="40"/>
      <c r="E17" s="6">
        <v>100327</v>
      </c>
      <c r="F17" s="34"/>
      <c r="G17" s="40"/>
      <c r="H17" s="40"/>
      <c r="I17" s="9"/>
    </row>
    <row r="18" spans="2:9" x14ac:dyDescent="0.3">
      <c r="B18" s="41"/>
      <c r="C18" s="40" t="s">
        <v>141</v>
      </c>
      <c r="D18" s="40"/>
      <c r="E18" s="6">
        <v>4960</v>
      </c>
      <c r="F18" s="34"/>
      <c r="G18" s="40"/>
      <c r="H18" s="40"/>
      <c r="I18" s="9"/>
    </row>
    <row r="19" spans="2:9" x14ac:dyDescent="0.3">
      <c r="B19" s="41"/>
      <c r="C19" s="40" t="s">
        <v>142</v>
      </c>
      <c r="D19" s="40"/>
      <c r="E19" s="6">
        <v>3971537</v>
      </c>
      <c r="F19" s="34"/>
      <c r="G19" s="40"/>
      <c r="H19" s="40"/>
      <c r="I19" s="9"/>
    </row>
    <row r="20" spans="2:9" x14ac:dyDescent="0.3">
      <c r="B20" s="41"/>
      <c r="C20" s="40" t="s">
        <v>102</v>
      </c>
      <c r="D20" s="40"/>
      <c r="E20" s="6">
        <v>387417</v>
      </c>
      <c r="F20" s="34"/>
      <c r="G20" s="40"/>
      <c r="H20" s="40"/>
      <c r="I20" s="9"/>
    </row>
    <row r="21" spans="2:9" x14ac:dyDescent="0.3">
      <c r="B21" s="41"/>
      <c r="C21" s="40" t="s">
        <v>103</v>
      </c>
      <c r="D21" s="40"/>
      <c r="E21" s="6">
        <v>313</v>
      </c>
      <c r="F21" s="34"/>
      <c r="G21" s="40"/>
      <c r="H21" s="40"/>
      <c r="I21" s="9"/>
    </row>
    <row r="22" spans="2:9" x14ac:dyDescent="0.3">
      <c r="B22" s="35" t="s">
        <v>18</v>
      </c>
      <c r="C22" s="40"/>
      <c r="D22" s="40"/>
      <c r="E22" s="6"/>
      <c r="F22" s="34"/>
      <c r="G22" s="40"/>
      <c r="H22" s="40"/>
      <c r="I22" s="9"/>
    </row>
    <row r="23" spans="2:9" x14ac:dyDescent="0.3">
      <c r="B23" s="35" t="s">
        <v>19</v>
      </c>
      <c r="C23" s="40" t="s">
        <v>20</v>
      </c>
      <c r="D23" s="40"/>
      <c r="E23" s="6">
        <v>0</v>
      </c>
      <c r="F23" s="34"/>
      <c r="G23" s="40"/>
      <c r="H23" s="40"/>
      <c r="I23" s="9"/>
    </row>
    <row r="24" spans="2:9" x14ac:dyDescent="0.3">
      <c r="B24" s="35" t="s">
        <v>21</v>
      </c>
      <c r="C24" s="40"/>
      <c r="D24" s="40"/>
      <c r="E24" s="6"/>
      <c r="F24" s="34"/>
      <c r="G24" s="40"/>
      <c r="H24" s="40"/>
      <c r="I24" s="9"/>
    </row>
    <row r="25" spans="2:9" x14ac:dyDescent="0.3">
      <c r="B25" s="41" t="s">
        <v>23</v>
      </c>
      <c r="C25" s="40" t="s">
        <v>104</v>
      </c>
      <c r="D25" s="40"/>
      <c r="E25" s="6">
        <v>0</v>
      </c>
      <c r="F25" s="34"/>
      <c r="G25" s="40"/>
      <c r="H25" s="40"/>
      <c r="I25" s="9"/>
    </row>
    <row r="26" spans="2:9" x14ac:dyDescent="0.3">
      <c r="B26" s="41"/>
      <c r="C26" s="40" t="s">
        <v>105</v>
      </c>
      <c r="D26" s="40"/>
      <c r="E26" s="6">
        <v>38720</v>
      </c>
      <c r="F26" s="34"/>
      <c r="G26" s="40"/>
      <c r="H26" s="40"/>
      <c r="I26" s="9"/>
    </row>
    <row r="27" spans="2:9" x14ac:dyDescent="0.3">
      <c r="B27" s="41"/>
      <c r="C27" s="40" t="s">
        <v>27</v>
      </c>
      <c r="D27" s="40"/>
      <c r="E27" s="6">
        <v>0</v>
      </c>
      <c r="F27" s="34"/>
      <c r="G27" s="40"/>
      <c r="H27" s="40"/>
      <c r="I27" s="9"/>
    </row>
    <row r="28" spans="2:9" x14ac:dyDescent="0.3">
      <c r="B28" s="41"/>
      <c r="C28" s="40" t="s">
        <v>106</v>
      </c>
      <c r="D28" s="40"/>
      <c r="E28" s="6">
        <v>5945</v>
      </c>
      <c r="F28" s="34"/>
      <c r="G28" s="40"/>
      <c r="H28" s="40"/>
      <c r="I28" s="9"/>
    </row>
    <row r="29" spans="2:9" x14ac:dyDescent="0.3">
      <c r="B29" s="41" t="s">
        <v>28</v>
      </c>
      <c r="C29" s="40" t="s">
        <v>107</v>
      </c>
      <c r="D29" s="40"/>
      <c r="E29" s="6">
        <v>2702374</v>
      </c>
      <c r="F29" s="34"/>
      <c r="G29" s="40"/>
      <c r="H29" s="40"/>
      <c r="I29" s="9"/>
    </row>
    <row r="30" spans="2:9" x14ac:dyDescent="0.3">
      <c r="B30" s="41"/>
      <c r="C30" s="40" t="s">
        <v>108</v>
      </c>
      <c r="D30" s="40"/>
      <c r="E30" s="6">
        <v>1156893</v>
      </c>
      <c r="F30" s="34"/>
      <c r="G30" s="40"/>
      <c r="H30" s="40"/>
      <c r="I30" s="9"/>
    </row>
    <row r="31" spans="2:9" x14ac:dyDescent="0.3">
      <c r="B31" s="41"/>
      <c r="C31" s="40" t="s">
        <v>29</v>
      </c>
      <c r="D31" s="40"/>
      <c r="E31" s="6">
        <v>1950200</v>
      </c>
      <c r="F31" s="34"/>
      <c r="G31" s="40"/>
      <c r="H31" s="40"/>
      <c r="I31" s="9"/>
    </row>
    <row r="32" spans="2:9" x14ac:dyDescent="0.3">
      <c r="B32" s="41"/>
      <c r="C32" s="40" t="s">
        <v>109</v>
      </c>
      <c r="D32" s="40"/>
      <c r="E32" s="6">
        <v>170250</v>
      </c>
      <c r="F32" s="34"/>
      <c r="G32" s="40"/>
      <c r="H32" s="40"/>
      <c r="I32" s="9"/>
    </row>
    <row r="33" spans="2:9" x14ac:dyDescent="0.3">
      <c r="B33" s="41"/>
      <c r="C33" s="40" t="s">
        <v>110</v>
      </c>
      <c r="D33" s="40"/>
      <c r="E33" s="6">
        <v>491311.95986152801</v>
      </c>
      <c r="F33" s="34"/>
      <c r="G33" s="40"/>
      <c r="H33" s="40"/>
      <c r="I33" s="9"/>
    </row>
    <row r="34" spans="2:9" x14ac:dyDescent="0.3">
      <c r="B34" s="41"/>
      <c r="C34" s="40" t="s">
        <v>111</v>
      </c>
      <c r="D34" s="40"/>
      <c r="E34" s="6">
        <v>302954.55181050958</v>
      </c>
      <c r="F34" s="34"/>
      <c r="G34" s="40"/>
      <c r="H34" s="40"/>
      <c r="I34" s="9"/>
    </row>
    <row r="35" spans="2:9" x14ac:dyDescent="0.3">
      <c r="B35" s="41"/>
      <c r="C35" s="40" t="s">
        <v>112</v>
      </c>
      <c r="D35" s="40"/>
      <c r="E35" s="6">
        <v>230532.45771932101</v>
      </c>
      <c r="F35" s="34"/>
      <c r="G35" s="40"/>
      <c r="H35" s="40"/>
      <c r="I35" s="9"/>
    </row>
    <row r="36" spans="2:9" x14ac:dyDescent="0.3">
      <c r="B36" s="41"/>
      <c r="C36" s="40" t="s">
        <v>109</v>
      </c>
      <c r="D36" s="40"/>
      <c r="E36" s="6">
        <v>170250</v>
      </c>
      <c r="F36" s="34"/>
      <c r="G36" s="40"/>
      <c r="H36" s="40"/>
      <c r="I36" s="9"/>
    </row>
    <row r="37" spans="2:9" x14ac:dyDescent="0.3">
      <c r="B37" s="41"/>
      <c r="C37" s="40" t="s">
        <v>113</v>
      </c>
      <c r="D37" s="40"/>
      <c r="E37" s="6">
        <v>7118</v>
      </c>
      <c r="F37" s="34"/>
      <c r="G37" s="40"/>
      <c r="H37" s="40"/>
      <c r="I37" s="9"/>
    </row>
    <row r="38" spans="2:9" x14ac:dyDescent="0.3">
      <c r="B38" s="41"/>
      <c r="C38" s="40" t="s">
        <v>33</v>
      </c>
      <c r="D38" s="40"/>
      <c r="E38" s="6">
        <v>502.54610000000002</v>
      </c>
      <c r="F38" s="34"/>
      <c r="G38" s="40"/>
      <c r="H38" s="40"/>
      <c r="I38" s="9"/>
    </row>
    <row r="39" spans="2:9" x14ac:dyDescent="0.3">
      <c r="B39" s="41"/>
      <c r="C39" s="40" t="s">
        <v>114</v>
      </c>
      <c r="D39" s="40"/>
      <c r="E39" s="6">
        <v>0</v>
      </c>
      <c r="F39" s="34"/>
      <c r="G39" s="40"/>
      <c r="H39" s="40"/>
      <c r="I39" s="9"/>
    </row>
    <row r="40" spans="2:9" x14ac:dyDescent="0.3">
      <c r="B40" s="41"/>
      <c r="C40" s="40" t="s">
        <v>115</v>
      </c>
      <c r="D40" s="40"/>
      <c r="E40" s="6">
        <v>2180772</v>
      </c>
      <c r="F40" s="34"/>
      <c r="G40" s="40"/>
      <c r="H40" s="40"/>
      <c r="I40" s="9"/>
    </row>
    <row r="41" spans="2:9" x14ac:dyDescent="0.3">
      <c r="B41" s="41"/>
      <c r="C41" s="40" t="s">
        <v>116</v>
      </c>
      <c r="D41" s="40"/>
      <c r="E41" s="6">
        <v>1155453.8015999999</v>
      </c>
      <c r="F41" s="34"/>
      <c r="G41" s="40"/>
      <c r="H41" s="40"/>
      <c r="I41" s="9"/>
    </row>
    <row r="42" spans="2:9" x14ac:dyDescent="0.3">
      <c r="B42" s="41"/>
      <c r="C42" s="40" t="s">
        <v>137</v>
      </c>
      <c r="D42" s="40"/>
      <c r="E42" s="6">
        <v>2</v>
      </c>
      <c r="F42" s="34"/>
      <c r="G42" s="40"/>
      <c r="H42" s="40"/>
      <c r="I42" s="9"/>
    </row>
    <row r="43" spans="2:9" x14ac:dyDescent="0.3">
      <c r="B43" s="41"/>
      <c r="C43" s="40" t="s">
        <v>138</v>
      </c>
      <c r="D43" s="40"/>
      <c r="E43" s="6">
        <v>2</v>
      </c>
      <c r="F43" s="34"/>
      <c r="G43" s="40"/>
      <c r="H43" s="40"/>
      <c r="I43" s="9"/>
    </row>
    <row r="44" spans="2:9" x14ac:dyDescent="0.3">
      <c r="B44" s="41"/>
      <c r="C44" s="40" t="s">
        <v>34</v>
      </c>
      <c r="D44" s="40"/>
      <c r="E44" s="6">
        <v>4</v>
      </c>
      <c r="F44" s="34"/>
      <c r="G44" s="40"/>
      <c r="H44" s="40"/>
      <c r="I44" s="9"/>
    </row>
    <row r="45" spans="2:9" x14ac:dyDescent="0.3">
      <c r="B45" s="41"/>
      <c r="C45" s="40" t="s">
        <v>117</v>
      </c>
      <c r="D45" s="40"/>
      <c r="E45" s="6">
        <v>24</v>
      </c>
      <c r="F45" s="34"/>
      <c r="G45" s="40"/>
      <c r="H45" s="40"/>
      <c r="I45" s="9"/>
    </row>
    <row r="46" spans="2:9" x14ac:dyDescent="0.3">
      <c r="B46" s="35" t="s">
        <v>37</v>
      </c>
      <c r="C46" s="40"/>
      <c r="D46" s="40"/>
      <c r="E46" s="6"/>
      <c r="F46" s="34"/>
      <c r="G46" s="40"/>
      <c r="H46" s="40"/>
      <c r="I46" s="9"/>
    </row>
    <row r="47" spans="2:9" x14ac:dyDescent="0.3">
      <c r="B47" s="35" t="s">
        <v>38</v>
      </c>
      <c r="C47" s="40"/>
      <c r="D47" s="40"/>
      <c r="E47" s="6"/>
      <c r="F47" s="34"/>
      <c r="G47" s="40"/>
      <c r="H47" s="40"/>
      <c r="I47" s="9"/>
    </row>
    <row r="48" spans="2:9" x14ac:dyDescent="0.3">
      <c r="B48" s="35" t="s">
        <v>39</v>
      </c>
      <c r="C48" s="40" t="s">
        <v>118</v>
      </c>
      <c r="D48" s="40"/>
      <c r="E48" s="6"/>
      <c r="F48" s="34"/>
      <c r="G48" s="40"/>
      <c r="H48" s="40"/>
      <c r="I48" s="9"/>
    </row>
    <row r="49" spans="2:9" x14ac:dyDescent="0.3">
      <c r="B49" s="41" t="s">
        <v>40</v>
      </c>
      <c r="C49" s="40" t="s">
        <v>119</v>
      </c>
      <c r="D49" s="40"/>
      <c r="E49" s="6">
        <v>0</v>
      </c>
      <c r="F49" s="34"/>
      <c r="G49" s="40"/>
      <c r="H49" s="40"/>
      <c r="I49" s="9"/>
    </row>
    <row r="50" spans="2:9" x14ac:dyDescent="0.3">
      <c r="B50" s="41"/>
      <c r="C50" s="40" t="s">
        <v>120</v>
      </c>
      <c r="D50" s="40"/>
      <c r="E50" s="6">
        <v>0</v>
      </c>
      <c r="F50" s="34"/>
      <c r="G50" s="40"/>
      <c r="H50" s="40"/>
      <c r="I50" s="9"/>
    </row>
    <row r="51" spans="2:9" x14ac:dyDescent="0.3">
      <c r="B51" s="41"/>
      <c r="C51" s="40" t="s">
        <v>121</v>
      </c>
      <c r="D51" s="40"/>
      <c r="E51" s="6">
        <v>0</v>
      </c>
      <c r="F51" s="34"/>
      <c r="G51" s="40"/>
      <c r="H51" s="40"/>
      <c r="I51" s="9"/>
    </row>
    <row r="52" spans="2:9" x14ac:dyDescent="0.3">
      <c r="B52" s="41"/>
      <c r="C52" s="40" t="s">
        <v>122</v>
      </c>
      <c r="D52" s="40"/>
      <c r="E52" s="6">
        <v>0</v>
      </c>
      <c r="F52" s="34"/>
      <c r="G52" s="40"/>
      <c r="H52" s="40"/>
      <c r="I52" s="9"/>
    </row>
    <row r="53" spans="2:9" x14ac:dyDescent="0.3">
      <c r="B53" s="35" t="s">
        <v>46</v>
      </c>
      <c r="C53" s="40"/>
      <c r="D53" s="40"/>
      <c r="E53" s="6"/>
      <c r="F53" s="34"/>
      <c r="G53" s="40"/>
      <c r="H53" s="40"/>
      <c r="I53" s="9"/>
    </row>
    <row r="54" spans="2:9" x14ac:dyDescent="0.3">
      <c r="B54" s="46" t="s">
        <v>49</v>
      </c>
      <c r="C54" s="46"/>
      <c r="D54" s="46"/>
      <c r="E54" s="10">
        <f>SUM(E5:E53)</f>
        <v>22063629.317091361</v>
      </c>
      <c r="F54" s="47" t="s">
        <v>50</v>
      </c>
      <c r="G54" s="47"/>
      <c r="H54" s="47"/>
      <c r="I54" s="11">
        <f>SUM(I5:I53)</f>
        <v>47471370</v>
      </c>
    </row>
    <row r="55" spans="2:9" x14ac:dyDescent="0.3">
      <c r="B55" s="48" t="s">
        <v>51</v>
      </c>
      <c r="C55" s="48"/>
      <c r="D55" s="48"/>
      <c r="E55" s="48"/>
      <c r="F55" s="48"/>
      <c r="G55" s="48"/>
      <c r="H55" s="48"/>
      <c r="I55" s="48"/>
    </row>
    <row r="56" spans="2:9" ht="17.25" thickBot="1" x14ac:dyDescent="0.35">
      <c r="B56" s="43">
        <f>E54-I54</f>
        <v>-25407740.682908639</v>
      </c>
      <c r="C56" s="43"/>
      <c r="D56" s="43"/>
      <c r="E56" s="43"/>
      <c r="F56" s="43"/>
      <c r="G56" s="43"/>
      <c r="H56" s="43"/>
      <c r="I56" s="43"/>
    </row>
    <row r="59" spans="2:9" ht="20.25" x14ac:dyDescent="0.3">
      <c r="B59" s="1" t="s">
        <v>52</v>
      </c>
    </row>
    <row r="60" spans="2:9" ht="17.25" thickBot="1" x14ac:dyDescent="0.35">
      <c r="B60" t="s">
        <v>53</v>
      </c>
    </row>
    <row r="61" spans="2:9" x14ac:dyDescent="0.3">
      <c r="B61" s="12" t="s">
        <v>54</v>
      </c>
      <c r="C61" s="44" t="s">
        <v>55</v>
      </c>
      <c r="D61" s="44"/>
      <c r="E61" s="33" t="s">
        <v>56</v>
      </c>
      <c r="F61" s="33" t="s">
        <v>57</v>
      </c>
      <c r="G61" s="33" t="s">
        <v>58</v>
      </c>
      <c r="H61" s="33" t="s">
        <v>59</v>
      </c>
    </row>
    <row r="62" spans="2:9" x14ac:dyDescent="0.3">
      <c r="B62" s="14" t="s">
        <v>62</v>
      </c>
      <c r="C62" s="45" t="s">
        <v>119</v>
      </c>
      <c r="D62" s="45"/>
      <c r="E62" s="16" t="s">
        <v>61</v>
      </c>
      <c r="F62" s="17">
        <v>0</v>
      </c>
      <c r="G62" s="18">
        <v>39472</v>
      </c>
      <c r="H62" s="18">
        <v>69058</v>
      </c>
    </row>
    <row r="63" spans="2:9" x14ac:dyDescent="0.3">
      <c r="B63" s="14" t="s">
        <v>62</v>
      </c>
      <c r="C63" s="45" t="s">
        <v>120</v>
      </c>
      <c r="D63" s="45"/>
      <c r="E63" s="16" t="s">
        <v>61</v>
      </c>
      <c r="F63" s="17">
        <v>0</v>
      </c>
      <c r="G63" s="18">
        <v>40966</v>
      </c>
      <c r="H63" s="18">
        <v>69456</v>
      </c>
    </row>
    <row r="64" spans="2:9" x14ac:dyDescent="0.3">
      <c r="B64" s="14" t="s">
        <v>123</v>
      </c>
      <c r="C64" s="45" t="s">
        <v>121</v>
      </c>
      <c r="D64" s="45"/>
      <c r="E64" s="16" t="s">
        <v>61</v>
      </c>
      <c r="F64" s="17">
        <v>989004166</v>
      </c>
      <c r="G64" s="18">
        <v>45189</v>
      </c>
      <c r="H64" s="18">
        <v>56336</v>
      </c>
    </row>
    <row r="65" spans="2:10" x14ac:dyDescent="0.3">
      <c r="B65" s="14" t="s">
        <v>123</v>
      </c>
      <c r="C65" s="45" t="s">
        <v>122</v>
      </c>
      <c r="D65" s="45"/>
      <c r="E65" s="16" t="s">
        <v>61</v>
      </c>
      <c r="F65" s="17">
        <v>203500000</v>
      </c>
      <c r="G65" s="18">
        <v>45189</v>
      </c>
      <c r="H65" s="18">
        <v>46474</v>
      </c>
    </row>
    <row r="66" spans="2:10" ht="17.25" thickBot="1" x14ac:dyDescent="0.35">
      <c r="B66" s="49" t="s">
        <v>1</v>
      </c>
      <c r="C66" s="50" t="s">
        <v>63</v>
      </c>
      <c r="D66" s="50"/>
      <c r="E66" s="28" t="s">
        <v>124</v>
      </c>
      <c r="F66" s="28" t="s">
        <v>65</v>
      </c>
      <c r="G66" s="28"/>
      <c r="H66" s="20"/>
    </row>
    <row r="67" spans="2:10" ht="17.25" thickBot="1" x14ac:dyDescent="0.35">
      <c r="B67" s="49"/>
      <c r="C67" s="51" t="s">
        <v>125</v>
      </c>
      <c r="D67" s="51"/>
      <c r="E67" s="29" t="s">
        <v>67</v>
      </c>
      <c r="F67" s="32">
        <f>SUM(F62:F65)</f>
        <v>1192504166</v>
      </c>
      <c r="G67" s="29"/>
      <c r="H67" s="23"/>
    </row>
    <row r="69" spans="2:10" ht="20.25" x14ac:dyDescent="0.3">
      <c r="B69" s="1" t="s">
        <v>68</v>
      </c>
    </row>
    <row r="70" spans="2:10" ht="17.25" thickBot="1" x14ac:dyDescent="0.35">
      <c r="B70" t="s">
        <v>69</v>
      </c>
    </row>
    <row r="71" spans="2:10" x14ac:dyDescent="0.3">
      <c r="B71" s="12" t="s">
        <v>70</v>
      </c>
      <c r="C71" s="33" t="s">
        <v>54</v>
      </c>
      <c r="D71" s="44" t="s">
        <v>6</v>
      </c>
      <c r="E71" s="44"/>
      <c r="F71" s="33" t="s">
        <v>71</v>
      </c>
      <c r="G71" s="33" t="s">
        <v>72</v>
      </c>
      <c r="H71" s="33" t="s">
        <v>73</v>
      </c>
      <c r="I71" s="33" t="s">
        <v>74</v>
      </c>
      <c r="J71" s="33" t="s">
        <v>59</v>
      </c>
    </row>
    <row r="72" spans="2:10" x14ac:dyDescent="0.3">
      <c r="B72" s="14" t="s">
        <v>126</v>
      </c>
      <c r="C72" s="31" t="s">
        <v>127</v>
      </c>
      <c r="D72" s="45" t="s">
        <v>107</v>
      </c>
      <c r="E72" s="45"/>
      <c r="F72" s="17">
        <v>1946016</v>
      </c>
      <c r="G72" s="17">
        <v>2702374</v>
      </c>
      <c r="H72" s="24">
        <v>38.866998010293848</v>
      </c>
      <c r="I72" s="18"/>
      <c r="J72" s="18"/>
    </row>
    <row r="73" spans="2:10" x14ac:dyDescent="0.3">
      <c r="B73" s="14" t="s">
        <v>126</v>
      </c>
      <c r="C73" s="31" t="s">
        <v>127</v>
      </c>
      <c r="D73" s="45" t="s">
        <v>108</v>
      </c>
      <c r="E73" s="45"/>
      <c r="F73" s="17">
        <v>1000001</v>
      </c>
      <c r="G73" s="17">
        <v>1156893</v>
      </c>
      <c r="H73" s="24">
        <v>15.689184310815691</v>
      </c>
      <c r="I73" s="18"/>
      <c r="J73" s="18"/>
    </row>
    <row r="74" spans="2:10" x14ac:dyDescent="0.3">
      <c r="B74" s="14" t="s">
        <v>75</v>
      </c>
      <c r="C74" s="31" t="s">
        <v>127</v>
      </c>
      <c r="D74" s="45" t="s">
        <v>29</v>
      </c>
      <c r="E74" s="45"/>
      <c r="F74" s="17">
        <v>1831849</v>
      </c>
      <c r="G74" s="17">
        <v>1950200</v>
      </c>
      <c r="H74" s="24">
        <v>6.4607399409012416</v>
      </c>
      <c r="I74" s="18"/>
      <c r="J74" s="18"/>
    </row>
    <row r="75" spans="2:10" x14ac:dyDescent="0.3">
      <c r="B75" s="14" t="s">
        <v>75</v>
      </c>
      <c r="C75" s="31" t="s">
        <v>127</v>
      </c>
      <c r="D75" s="45" t="s">
        <v>109</v>
      </c>
      <c r="E75" s="45"/>
      <c r="F75" s="17">
        <v>143500</v>
      </c>
      <c r="G75" s="17">
        <v>170250</v>
      </c>
      <c r="H75" s="24">
        <v>18.641114982578401</v>
      </c>
      <c r="I75" s="18"/>
      <c r="J75" s="18"/>
    </row>
    <row r="76" spans="2:10" x14ac:dyDescent="0.3">
      <c r="B76" s="14" t="s">
        <v>75</v>
      </c>
      <c r="C76" s="31" t="s">
        <v>128</v>
      </c>
      <c r="D76" s="45" t="s">
        <v>110</v>
      </c>
      <c r="E76" s="45"/>
      <c r="F76" s="17">
        <v>1064609</v>
      </c>
      <c r="G76" s="17">
        <v>491311.95986152801</v>
      </c>
      <c r="H76" s="24">
        <v>-53.850478451569742</v>
      </c>
      <c r="I76" s="18"/>
      <c r="J76" s="18"/>
    </row>
    <row r="77" spans="2:10" x14ac:dyDescent="0.3">
      <c r="B77" s="14" t="s">
        <v>75</v>
      </c>
      <c r="C77" s="31" t="s">
        <v>128</v>
      </c>
      <c r="D77" s="45" t="s">
        <v>111</v>
      </c>
      <c r="E77" s="45"/>
      <c r="F77" s="17">
        <v>297847</v>
      </c>
      <c r="G77" s="17">
        <v>302954.55181050958</v>
      </c>
      <c r="H77" s="24">
        <v>1.714823990340538</v>
      </c>
      <c r="I77" s="18"/>
      <c r="J77" s="18"/>
    </row>
    <row r="78" spans="2:10" x14ac:dyDescent="0.3">
      <c r="B78" s="14" t="s">
        <v>75</v>
      </c>
      <c r="C78" s="31" t="s">
        <v>128</v>
      </c>
      <c r="D78" s="45" t="s">
        <v>112</v>
      </c>
      <c r="E78" s="45"/>
      <c r="F78" s="17">
        <v>296496</v>
      </c>
      <c r="G78" s="17">
        <v>230532.45771932101</v>
      </c>
      <c r="H78" s="24">
        <v>-22.247700569545291</v>
      </c>
      <c r="I78" s="18"/>
      <c r="J78" s="18"/>
    </row>
    <row r="79" spans="2:10" x14ac:dyDescent="0.3">
      <c r="B79" s="14" t="s">
        <v>75</v>
      </c>
      <c r="C79" s="31" t="s">
        <v>128</v>
      </c>
      <c r="D79" s="45" t="s">
        <v>109</v>
      </c>
      <c r="E79" s="45"/>
      <c r="F79" s="17">
        <v>296500</v>
      </c>
      <c r="G79" s="17">
        <v>170250</v>
      </c>
      <c r="H79" s="24">
        <v>-42.580101180438447</v>
      </c>
      <c r="I79" s="18"/>
      <c r="J79" s="18"/>
    </row>
    <row r="80" spans="2:10" ht="17.25" thickBot="1" x14ac:dyDescent="0.35">
      <c r="B80" s="52" t="s">
        <v>1</v>
      </c>
      <c r="C80" s="28"/>
      <c r="D80" s="50" t="s">
        <v>77</v>
      </c>
      <c r="E80" s="50"/>
      <c r="F80" s="28" t="s">
        <v>78</v>
      </c>
      <c r="G80" s="28" t="s">
        <v>79</v>
      </c>
      <c r="H80" s="28" t="s">
        <v>80</v>
      </c>
      <c r="I80" s="28"/>
      <c r="J80" s="20"/>
    </row>
    <row r="81" spans="2:10" ht="17.25" thickBot="1" x14ac:dyDescent="0.35">
      <c r="B81" s="52"/>
      <c r="C81" s="29"/>
      <c r="D81" s="51" t="s">
        <v>129</v>
      </c>
      <c r="E81" s="51"/>
      <c r="F81" s="32">
        <f>SUM(F72:F79)</f>
        <v>6876818</v>
      </c>
      <c r="G81" s="32">
        <f>SUM(G72:G79)</f>
        <v>7174765.969391359</v>
      </c>
      <c r="H81" s="25">
        <f>(SUM(G72:G79) - SUM(F72:F79)) * 100 / IF(SUM(F72:F79), SUM(F72:F79), 1)</f>
        <v>4.332642937349207</v>
      </c>
      <c r="I81" s="29"/>
      <c r="J81" s="23"/>
    </row>
    <row r="83" spans="2:10" ht="20.25" x14ac:dyDescent="0.3">
      <c r="B83" s="1" t="s">
        <v>82</v>
      </c>
    </row>
    <row r="84" spans="2:10" ht="17.25" thickBot="1" x14ac:dyDescent="0.35">
      <c r="B84" t="s">
        <v>83</v>
      </c>
    </row>
    <row r="85" spans="2:10" x14ac:dyDescent="0.3">
      <c r="B85" s="26" t="s">
        <v>84</v>
      </c>
      <c r="C85" s="30" t="s">
        <v>54</v>
      </c>
      <c r="D85" s="54" t="s">
        <v>6</v>
      </c>
      <c r="E85" s="54"/>
      <c r="F85" s="30" t="s">
        <v>85</v>
      </c>
      <c r="G85" s="30" t="s">
        <v>86</v>
      </c>
      <c r="H85" s="30" t="s">
        <v>87</v>
      </c>
      <c r="I85" s="30" t="s">
        <v>88</v>
      </c>
      <c r="J85" s="30" t="s">
        <v>89</v>
      </c>
    </row>
    <row r="86" spans="2:10" x14ac:dyDescent="0.3">
      <c r="B86" s="14" t="s">
        <v>90</v>
      </c>
      <c r="C86" s="31" t="s">
        <v>130</v>
      </c>
      <c r="D86" s="45" t="s">
        <v>97</v>
      </c>
      <c r="E86" s="45"/>
      <c r="F86" s="17">
        <v>0</v>
      </c>
      <c r="G86" s="17">
        <v>47471370</v>
      </c>
      <c r="H86" s="31"/>
      <c r="I86" s="18">
        <v>44505</v>
      </c>
      <c r="J86" s="18">
        <v>44505</v>
      </c>
    </row>
    <row r="87" spans="2:10" x14ac:dyDescent="0.3">
      <c r="B87" s="14" t="s">
        <v>90</v>
      </c>
      <c r="C87" s="31" t="s">
        <v>131</v>
      </c>
      <c r="D87" s="45" t="s">
        <v>98</v>
      </c>
      <c r="E87" s="45"/>
      <c r="F87" s="17">
        <v>40000000</v>
      </c>
      <c r="G87" s="17">
        <v>0</v>
      </c>
      <c r="H87" s="31">
        <v>4.87</v>
      </c>
      <c r="I87" s="18">
        <v>43889</v>
      </c>
      <c r="J87" s="18">
        <v>46450</v>
      </c>
    </row>
    <row r="88" spans="2:10" ht="17.25" thickBot="1" x14ac:dyDescent="0.35">
      <c r="B88" s="52" t="s">
        <v>1</v>
      </c>
      <c r="C88" s="28"/>
      <c r="D88" s="50" t="s">
        <v>92</v>
      </c>
      <c r="E88" s="50"/>
      <c r="F88" s="28" t="s">
        <v>93</v>
      </c>
      <c r="G88" s="28" t="s">
        <v>94</v>
      </c>
      <c r="H88" s="28"/>
      <c r="I88" s="28"/>
      <c r="J88" s="20"/>
    </row>
    <row r="89" spans="2:10" ht="17.25" thickBot="1" x14ac:dyDescent="0.35">
      <c r="B89" s="52"/>
      <c r="C89" s="29"/>
      <c r="D89" s="53">
        <f>SUM(2)</f>
        <v>2</v>
      </c>
      <c r="E89" s="53"/>
      <c r="F89" s="32">
        <f>SUM(F86:F87)</f>
        <v>40000000</v>
      </c>
      <c r="G89" s="32">
        <f>SUM(G86:G87)</f>
        <v>47471370</v>
      </c>
      <c r="H89" s="29"/>
      <c r="I89" s="29"/>
      <c r="J89" s="23"/>
    </row>
  </sheetData>
  <mergeCells count="137">
    <mergeCell ref="B88:B89"/>
    <mergeCell ref="D88:E88"/>
    <mergeCell ref="D89:E89"/>
    <mergeCell ref="B80:B81"/>
    <mergeCell ref="D80:E80"/>
    <mergeCell ref="D81:E81"/>
    <mergeCell ref="D85:E85"/>
    <mergeCell ref="D86:E86"/>
    <mergeCell ref="D87:E87"/>
    <mergeCell ref="D74:E74"/>
    <mergeCell ref="D75:E75"/>
    <mergeCell ref="D76:E76"/>
    <mergeCell ref="D77:E77"/>
    <mergeCell ref="D78:E78"/>
    <mergeCell ref="D79:E79"/>
    <mergeCell ref="B66:B67"/>
    <mergeCell ref="C66:D66"/>
    <mergeCell ref="C67:D67"/>
    <mergeCell ref="D71:E71"/>
    <mergeCell ref="D72:E72"/>
    <mergeCell ref="D73:E73"/>
    <mergeCell ref="B56:I56"/>
    <mergeCell ref="C61:D61"/>
    <mergeCell ref="C62:D62"/>
    <mergeCell ref="C63:D63"/>
    <mergeCell ref="C64:D64"/>
    <mergeCell ref="C65:D65"/>
    <mergeCell ref="G52:H52"/>
    <mergeCell ref="C53:D53"/>
    <mergeCell ref="G53:H53"/>
    <mergeCell ref="B54:D54"/>
    <mergeCell ref="F54:H54"/>
    <mergeCell ref="B55:I55"/>
    <mergeCell ref="C48:D48"/>
    <mergeCell ref="G48:H48"/>
    <mergeCell ref="B49:B52"/>
    <mergeCell ref="C49:D49"/>
    <mergeCell ref="G49:H49"/>
    <mergeCell ref="C50:D50"/>
    <mergeCell ref="G50:H50"/>
    <mergeCell ref="C51:D51"/>
    <mergeCell ref="G51:H51"/>
    <mergeCell ref="C52:D52"/>
    <mergeCell ref="C37:D37"/>
    <mergeCell ref="G37:H37"/>
    <mergeCell ref="C38:D38"/>
    <mergeCell ref="G38:H38"/>
    <mergeCell ref="C45:D45"/>
    <mergeCell ref="G45:H45"/>
    <mergeCell ref="C46:D46"/>
    <mergeCell ref="G46:H46"/>
    <mergeCell ref="C47:D47"/>
    <mergeCell ref="G47:H47"/>
    <mergeCell ref="C42:D42"/>
    <mergeCell ref="G42:H42"/>
    <mergeCell ref="C43:D43"/>
    <mergeCell ref="G43:H43"/>
    <mergeCell ref="C44:D44"/>
    <mergeCell ref="G44:H44"/>
    <mergeCell ref="C33:D33"/>
    <mergeCell ref="G33:H33"/>
    <mergeCell ref="C34:D34"/>
    <mergeCell ref="G34:H34"/>
    <mergeCell ref="C35:D35"/>
    <mergeCell ref="G35:H35"/>
    <mergeCell ref="G28:H28"/>
    <mergeCell ref="B29:B45"/>
    <mergeCell ref="C29:D29"/>
    <mergeCell ref="G29:H29"/>
    <mergeCell ref="C30:D30"/>
    <mergeCell ref="G30:H30"/>
    <mergeCell ref="C31:D31"/>
    <mergeCell ref="G31:H31"/>
    <mergeCell ref="C32:D32"/>
    <mergeCell ref="G32:H32"/>
    <mergeCell ref="C39:D39"/>
    <mergeCell ref="G39:H39"/>
    <mergeCell ref="C40:D40"/>
    <mergeCell ref="G40:H40"/>
    <mergeCell ref="C41:D41"/>
    <mergeCell ref="G41:H41"/>
    <mergeCell ref="C36:D36"/>
    <mergeCell ref="G36:H36"/>
    <mergeCell ref="C24:D24"/>
    <mergeCell ref="G24:H24"/>
    <mergeCell ref="B25:B28"/>
    <mergeCell ref="C25:D25"/>
    <mergeCell ref="G25:H25"/>
    <mergeCell ref="C26:D26"/>
    <mergeCell ref="G26:H26"/>
    <mergeCell ref="C27:D27"/>
    <mergeCell ref="G27:H27"/>
    <mergeCell ref="C28:D28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7:D17"/>
    <mergeCell ref="G17:H17"/>
    <mergeCell ref="C12:D12"/>
    <mergeCell ref="G12:H12"/>
    <mergeCell ref="C13:D13"/>
    <mergeCell ref="G13:H13"/>
    <mergeCell ref="C14:D14"/>
    <mergeCell ref="G14:H14"/>
    <mergeCell ref="C21:D21"/>
    <mergeCell ref="G21:H21"/>
    <mergeCell ref="B3:E3"/>
    <mergeCell ref="F3:I3"/>
    <mergeCell ref="C4:D4"/>
    <mergeCell ref="G4:H4"/>
    <mergeCell ref="C9:D9"/>
    <mergeCell ref="G9:H9"/>
    <mergeCell ref="C10:D10"/>
    <mergeCell ref="G10:H10"/>
    <mergeCell ref="C11:D11"/>
    <mergeCell ref="G11:H11"/>
    <mergeCell ref="B5:B21"/>
    <mergeCell ref="C5:D5"/>
    <mergeCell ref="F5:F6"/>
    <mergeCell ref="G5:H5"/>
    <mergeCell ref="C6:D6"/>
    <mergeCell ref="G6:H6"/>
    <mergeCell ref="C7:D7"/>
    <mergeCell ref="G7:H7"/>
    <mergeCell ref="C8:D8"/>
    <mergeCell ref="G8:H8"/>
    <mergeCell ref="C15:D15"/>
    <mergeCell ref="G15:H15"/>
    <mergeCell ref="C16:D16"/>
    <mergeCell ref="G16:H16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8"/>
  <sheetViews>
    <sheetView tabSelected="1" workbookViewId="0">
      <selection activeCell="J4" sqref="J4"/>
    </sheetView>
  </sheetViews>
  <sheetFormatPr defaultRowHeight="16.5" x14ac:dyDescent="0.3"/>
  <cols>
    <col min="1" max="1" width="2.75" customWidth="1"/>
    <col min="2" max="18" width="16.75" customWidth="1"/>
  </cols>
  <sheetData>
    <row r="1" spans="2:12" ht="20.25" x14ac:dyDescent="0.3">
      <c r="B1" s="1" t="s">
        <v>2</v>
      </c>
    </row>
    <row r="2" spans="2:12" x14ac:dyDescent="0.3">
      <c r="B2" t="s">
        <v>3</v>
      </c>
    </row>
    <row r="3" spans="2:12" x14ac:dyDescent="0.3">
      <c r="B3" s="37" t="s">
        <v>4</v>
      </c>
      <c r="C3" s="37"/>
      <c r="D3" s="37"/>
      <c r="E3" s="37"/>
      <c r="F3" s="38" t="s">
        <v>5</v>
      </c>
      <c r="G3" s="38"/>
      <c r="H3" s="38"/>
      <c r="I3" s="38"/>
    </row>
    <row r="4" spans="2:12" x14ac:dyDescent="0.3">
      <c r="B4" s="2" t="s">
        <v>0</v>
      </c>
      <c r="C4" s="39" t="s">
        <v>6</v>
      </c>
      <c r="D4" s="39"/>
      <c r="E4" s="3" t="s">
        <v>7</v>
      </c>
      <c r="F4" s="3" t="s">
        <v>0</v>
      </c>
      <c r="G4" s="39" t="s">
        <v>6</v>
      </c>
      <c r="H4" s="39"/>
      <c r="I4" s="3" t="s">
        <v>7</v>
      </c>
    </row>
    <row r="5" spans="2:12" x14ac:dyDescent="0.3">
      <c r="B5" s="41" t="s">
        <v>8</v>
      </c>
      <c r="C5" s="40" t="s">
        <v>9</v>
      </c>
      <c r="D5" s="40"/>
      <c r="E5" s="6">
        <v>3931685</v>
      </c>
      <c r="F5" s="7" t="s">
        <v>47</v>
      </c>
      <c r="G5" s="40" t="s">
        <v>48</v>
      </c>
      <c r="H5" s="40"/>
      <c r="I5" s="8">
        <v>600000000</v>
      </c>
      <c r="K5" s="55">
        <f>SUM(E5:E14)+100000</f>
        <v>26891042</v>
      </c>
      <c r="L5" s="55">
        <f>SUM('뱅샐현황(재은)'!E5:E21)</f>
        <v>11500320</v>
      </c>
    </row>
    <row r="6" spans="2:12" x14ac:dyDescent="0.3">
      <c r="B6" s="41"/>
      <c r="C6" s="40" t="s">
        <v>10</v>
      </c>
      <c r="D6" s="40"/>
      <c r="E6" s="6">
        <v>13090630</v>
      </c>
      <c r="F6" s="5"/>
      <c r="G6" s="40"/>
      <c r="H6" s="40"/>
      <c r="I6" s="9"/>
    </row>
    <row r="7" spans="2:12" x14ac:dyDescent="0.3">
      <c r="B7" s="41"/>
      <c r="C7" s="40" t="s">
        <v>11</v>
      </c>
      <c r="D7" s="40"/>
      <c r="E7" s="6">
        <v>41</v>
      </c>
      <c r="F7" s="5"/>
      <c r="G7" s="40"/>
      <c r="H7" s="40"/>
      <c r="I7" s="9"/>
    </row>
    <row r="8" spans="2:12" x14ac:dyDescent="0.3">
      <c r="B8" s="41"/>
      <c r="C8" s="40" t="s">
        <v>12</v>
      </c>
      <c r="D8" s="40"/>
      <c r="E8" s="6">
        <v>2</v>
      </c>
      <c r="F8" s="5"/>
      <c r="G8" s="40"/>
      <c r="H8" s="40"/>
      <c r="I8" s="9"/>
    </row>
    <row r="9" spans="2:12" x14ac:dyDescent="0.3">
      <c r="B9" s="41"/>
      <c r="C9" s="40" t="s">
        <v>13</v>
      </c>
      <c r="D9" s="40"/>
      <c r="E9" s="6">
        <v>3269297</v>
      </c>
      <c r="F9" s="5"/>
      <c r="G9" s="40"/>
      <c r="H9" s="40"/>
      <c r="I9" s="9"/>
    </row>
    <row r="10" spans="2:12" x14ac:dyDescent="0.3">
      <c r="B10" s="41"/>
      <c r="C10" s="40" t="s">
        <v>14</v>
      </c>
      <c r="D10" s="40"/>
      <c r="E10" s="6">
        <v>1107</v>
      </c>
      <c r="F10" s="5"/>
      <c r="G10" s="40"/>
      <c r="H10" s="40"/>
      <c r="I10" s="9"/>
    </row>
    <row r="11" spans="2:12" x14ac:dyDescent="0.3">
      <c r="B11" s="41"/>
      <c r="C11" s="40" t="s">
        <v>15</v>
      </c>
      <c r="D11" s="40"/>
      <c r="E11" s="6">
        <v>126</v>
      </c>
      <c r="F11" s="5"/>
      <c r="G11" s="40"/>
      <c r="H11" s="40"/>
      <c r="I11" s="9"/>
    </row>
    <row r="12" spans="2:12" x14ac:dyDescent="0.3">
      <c r="B12" s="41"/>
      <c r="C12" s="40" t="s">
        <v>16</v>
      </c>
      <c r="D12" s="40"/>
      <c r="E12" s="6">
        <v>6449648</v>
      </c>
      <c r="F12" s="5"/>
      <c r="G12" s="40"/>
      <c r="H12" s="40"/>
      <c r="I12" s="9"/>
    </row>
    <row r="13" spans="2:12" x14ac:dyDescent="0.3">
      <c r="B13" s="41"/>
      <c r="C13" s="40" t="s">
        <v>16</v>
      </c>
      <c r="D13" s="40"/>
      <c r="E13" s="6">
        <v>7000</v>
      </c>
      <c r="F13" s="5"/>
      <c r="G13" s="40"/>
      <c r="H13" s="40"/>
      <c r="I13" s="9"/>
    </row>
    <row r="14" spans="2:12" x14ac:dyDescent="0.3">
      <c r="B14" s="41"/>
      <c r="C14" s="40" t="s">
        <v>17</v>
      </c>
      <c r="D14" s="40"/>
      <c r="E14" s="6">
        <v>41506</v>
      </c>
      <c r="F14" s="5"/>
      <c r="G14" s="40"/>
      <c r="H14" s="40"/>
      <c r="I14" s="9"/>
    </row>
    <row r="15" spans="2:12" x14ac:dyDescent="0.3">
      <c r="B15" s="4" t="s">
        <v>18</v>
      </c>
      <c r="C15" s="40"/>
      <c r="D15" s="40"/>
      <c r="E15" s="6"/>
      <c r="F15" s="5"/>
      <c r="G15" s="40"/>
      <c r="H15" s="40"/>
      <c r="I15" s="9"/>
    </row>
    <row r="16" spans="2:12" x14ac:dyDescent="0.3">
      <c r="B16" s="4" t="s">
        <v>19</v>
      </c>
      <c r="C16" s="40" t="s">
        <v>20</v>
      </c>
      <c r="D16" s="40"/>
      <c r="E16" s="6">
        <v>0</v>
      </c>
      <c r="F16" s="5"/>
      <c r="G16" s="40"/>
      <c r="H16" s="40"/>
      <c r="I16" s="9"/>
    </row>
    <row r="17" spans="2:9" x14ac:dyDescent="0.3">
      <c r="B17" s="4" t="s">
        <v>21</v>
      </c>
      <c r="C17" s="40" t="s">
        <v>22</v>
      </c>
      <c r="D17" s="40"/>
      <c r="E17" s="6">
        <v>100000</v>
      </c>
      <c r="F17" s="5"/>
      <c r="G17" s="40"/>
      <c r="H17" s="40"/>
      <c r="I17" s="9"/>
    </row>
    <row r="18" spans="2:9" x14ac:dyDescent="0.3">
      <c r="B18" s="41" t="s">
        <v>23</v>
      </c>
      <c r="C18" s="40" t="s">
        <v>24</v>
      </c>
      <c r="D18" s="40"/>
      <c r="E18" s="6">
        <v>0</v>
      </c>
      <c r="F18" s="5"/>
      <c r="G18" s="40"/>
      <c r="H18" s="40"/>
      <c r="I18" s="9"/>
    </row>
    <row r="19" spans="2:9" x14ac:dyDescent="0.3">
      <c r="B19" s="41"/>
      <c r="C19" s="40" t="s">
        <v>25</v>
      </c>
      <c r="D19" s="40"/>
      <c r="E19" s="6">
        <v>0</v>
      </c>
      <c r="F19" s="5"/>
      <c r="G19" s="40"/>
      <c r="H19" s="40"/>
      <c r="I19" s="9"/>
    </row>
    <row r="20" spans="2:9" x14ac:dyDescent="0.3">
      <c r="B20" s="41"/>
      <c r="C20" s="40" t="s">
        <v>26</v>
      </c>
      <c r="D20" s="40"/>
      <c r="E20" s="6">
        <v>12000</v>
      </c>
      <c r="F20" s="5"/>
      <c r="G20" s="40"/>
      <c r="H20" s="40"/>
      <c r="I20" s="9"/>
    </row>
    <row r="21" spans="2:9" x14ac:dyDescent="0.3">
      <c r="B21" s="41"/>
      <c r="C21" s="40" t="s">
        <v>27</v>
      </c>
      <c r="D21" s="40"/>
      <c r="E21" s="6">
        <v>0</v>
      </c>
      <c r="F21" s="5"/>
      <c r="G21" s="40"/>
      <c r="H21" s="40"/>
      <c r="I21" s="9"/>
    </row>
    <row r="22" spans="2:9" x14ac:dyDescent="0.3">
      <c r="B22" s="41" t="s">
        <v>28</v>
      </c>
      <c r="C22" s="40" t="s">
        <v>29</v>
      </c>
      <c r="D22" s="40"/>
      <c r="E22" s="6">
        <v>1919980</v>
      </c>
      <c r="F22" s="5"/>
      <c r="G22" s="40"/>
      <c r="H22" s="40"/>
      <c r="I22" s="9"/>
    </row>
    <row r="23" spans="2:9" x14ac:dyDescent="0.3">
      <c r="B23" s="41"/>
      <c r="C23" s="40" t="s">
        <v>30</v>
      </c>
      <c r="D23" s="40"/>
      <c r="E23" s="6">
        <v>1726080</v>
      </c>
      <c r="F23" s="5"/>
      <c r="G23" s="40"/>
      <c r="H23" s="40"/>
      <c r="I23" s="9"/>
    </row>
    <row r="24" spans="2:9" x14ac:dyDescent="0.3">
      <c r="B24" s="41"/>
      <c r="C24" s="40" t="s">
        <v>31</v>
      </c>
      <c r="D24" s="40"/>
      <c r="E24" s="6">
        <v>20105</v>
      </c>
      <c r="F24" s="5"/>
      <c r="G24" s="40"/>
      <c r="H24" s="40"/>
      <c r="I24" s="9"/>
    </row>
    <row r="25" spans="2:9" x14ac:dyDescent="0.3">
      <c r="B25" s="41"/>
      <c r="C25" s="40" t="s">
        <v>32</v>
      </c>
      <c r="D25" s="40"/>
      <c r="E25" s="6">
        <v>446955.17499999999</v>
      </c>
      <c r="F25" s="5"/>
      <c r="G25" s="40"/>
      <c r="H25" s="40"/>
      <c r="I25" s="9"/>
    </row>
    <row r="26" spans="2:9" x14ac:dyDescent="0.3">
      <c r="B26" s="41"/>
      <c r="C26" s="40" t="s">
        <v>33</v>
      </c>
      <c r="D26" s="40"/>
      <c r="E26" s="6">
        <v>3481.8249999999998</v>
      </c>
      <c r="F26" s="5"/>
      <c r="G26" s="40"/>
      <c r="H26" s="40"/>
      <c r="I26" s="9"/>
    </row>
    <row r="27" spans="2:9" x14ac:dyDescent="0.3">
      <c r="B27" s="41"/>
      <c r="C27" s="40" t="s">
        <v>95</v>
      </c>
      <c r="D27" s="40"/>
      <c r="E27" s="6">
        <v>282</v>
      </c>
      <c r="F27" s="5"/>
      <c r="G27" s="40"/>
      <c r="H27" s="40"/>
      <c r="I27" s="9"/>
    </row>
    <row r="28" spans="2:9" x14ac:dyDescent="0.3">
      <c r="B28" s="41"/>
      <c r="C28" s="40" t="s">
        <v>35</v>
      </c>
      <c r="D28" s="40"/>
      <c r="E28" s="6">
        <v>693121</v>
      </c>
      <c r="F28" s="5"/>
      <c r="G28" s="40"/>
      <c r="H28" s="40"/>
      <c r="I28" s="9"/>
    </row>
    <row r="29" spans="2:9" x14ac:dyDescent="0.3">
      <c r="B29" s="41"/>
      <c r="C29" s="40" t="s">
        <v>36</v>
      </c>
      <c r="D29" s="40"/>
      <c r="E29" s="6">
        <v>1</v>
      </c>
      <c r="F29" s="5"/>
      <c r="G29" s="40"/>
      <c r="H29" s="40"/>
      <c r="I29" s="9"/>
    </row>
    <row r="30" spans="2:9" x14ac:dyDescent="0.3">
      <c r="B30" s="4" t="s">
        <v>37</v>
      </c>
      <c r="C30" s="40"/>
      <c r="D30" s="40"/>
      <c r="E30" s="6"/>
      <c r="F30" s="5"/>
      <c r="G30" s="40"/>
      <c r="H30" s="40"/>
      <c r="I30" s="9"/>
    </row>
    <row r="31" spans="2:9" x14ac:dyDescent="0.3">
      <c r="B31" s="4" t="s">
        <v>38</v>
      </c>
      <c r="C31" s="40"/>
      <c r="D31" s="40"/>
      <c r="E31" s="6"/>
      <c r="F31" s="5"/>
      <c r="G31" s="40"/>
      <c r="H31" s="40"/>
      <c r="I31" s="9"/>
    </row>
    <row r="32" spans="2:9" x14ac:dyDescent="0.3">
      <c r="B32" s="4" t="s">
        <v>39</v>
      </c>
      <c r="C32" s="40"/>
      <c r="D32" s="40"/>
      <c r="E32" s="6"/>
      <c r="F32" s="5"/>
      <c r="G32" s="40"/>
      <c r="H32" s="40"/>
      <c r="I32" s="9"/>
    </row>
    <row r="33" spans="2:9" x14ac:dyDescent="0.3">
      <c r="B33" s="41" t="s">
        <v>40</v>
      </c>
      <c r="C33" s="40" t="s">
        <v>41</v>
      </c>
      <c r="D33" s="40"/>
      <c r="E33" s="6">
        <v>0</v>
      </c>
      <c r="F33" s="5"/>
      <c r="G33" s="40"/>
      <c r="H33" s="40"/>
      <c r="I33" s="9"/>
    </row>
    <row r="34" spans="2:9" x14ac:dyDescent="0.3">
      <c r="B34" s="41"/>
      <c r="C34" s="40" t="s">
        <v>42</v>
      </c>
      <c r="D34" s="40"/>
      <c r="E34" s="6">
        <v>0</v>
      </c>
      <c r="F34" s="5"/>
      <c r="G34" s="40"/>
      <c r="H34" s="40"/>
      <c r="I34" s="9"/>
    </row>
    <row r="35" spans="2:9" x14ac:dyDescent="0.3">
      <c r="B35" s="41"/>
      <c r="C35" s="40" t="s">
        <v>43</v>
      </c>
      <c r="D35" s="40"/>
      <c r="E35" s="6">
        <v>0</v>
      </c>
      <c r="F35" s="5"/>
      <c r="G35" s="40"/>
      <c r="H35" s="40"/>
      <c r="I35" s="9"/>
    </row>
    <row r="36" spans="2:9" x14ac:dyDescent="0.3">
      <c r="B36" s="41"/>
      <c r="C36" s="40" t="s">
        <v>44</v>
      </c>
      <c r="D36" s="40"/>
      <c r="E36" s="6">
        <v>0</v>
      </c>
      <c r="F36" s="5"/>
      <c r="G36" s="40"/>
      <c r="H36" s="40"/>
      <c r="I36" s="9"/>
    </row>
    <row r="37" spans="2:9" x14ac:dyDescent="0.3">
      <c r="B37" s="41"/>
      <c r="C37" s="40" t="s">
        <v>45</v>
      </c>
      <c r="D37" s="40"/>
      <c r="E37" s="6">
        <v>0</v>
      </c>
      <c r="F37" s="5"/>
      <c r="G37" s="40"/>
      <c r="H37" s="40"/>
      <c r="I37" s="9"/>
    </row>
    <row r="38" spans="2:9" x14ac:dyDescent="0.3">
      <c r="B38" s="4" t="s">
        <v>46</v>
      </c>
      <c r="C38" s="40"/>
      <c r="D38" s="40"/>
      <c r="E38" s="6"/>
      <c r="F38" s="5"/>
      <c r="G38" s="40"/>
      <c r="H38" s="40"/>
      <c r="I38" s="9"/>
    </row>
    <row r="39" spans="2:9" x14ac:dyDescent="0.3">
      <c r="B39" s="46" t="s">
        <v>49</v>
      </c>
      <c r="C39" s="46"/>
      <c r="D39" s="46"/>
      <c r="E39" s="10">
        <f>SUM(E5:E38)</f>
        <v>31713048</v>
      </c>
      <c r="F39" s="47" t="s">
        <v>50</v>
      </c>
      <c r="G39" s="47"/>
      <c r="H39" s="47"/>
      <c r="I39" s="11">
        <f>SUM(I5:I38)</f>
        <v>600000000</v>
      </c>
    </row>
    <row r="40" spans="2:9" x14ac:dyDescent="0.3">
      <c r="B40" s="48" t="s">
        <v>51</v>
      </c>
      <c r="C40" s="48"/>
      <c r="D40" s="48"/>
      <c r="E40" s="48"/>
      <c r="F40" s="48"/>
      <c r="G40" s="48"/>
      <c r="H40" s="48"/>
      <c r="I40" s="48"/>
    </row>
    <row r="41" spans="2:9" x14ac:dyDescent="0.3">
      <c r="B41" s="43">
        <f>E39-I39</f>
        <v>-568286952</v>
      </c>
      <c r="C41" s="43"/>
      <c r="D41" s="43"/>
      <c r="E41" s="43"/>
      <c r="F41" s="43"/>
      <c r="G41" s="43"/>
      <c r="H41" s="43"/>
      <c r="I41" s="43"/>
    </row>
    <row r="44" spans="2:9" ht="20.25" x14ac:dyDescent="0.3">
      <c r="B44" s="1" t="s">
        <v>52</v>
      </c>
    </row>
    <row r="45" spans="2:9" x14ac:dyDescent="0.3">
      <c r="B45" t="s">
        <v>53</v>
      </c>
    </row>
    <row r="46" spans="2:9" x14ac:dyDescent="0.3">
      <c r="B46" s="12" t="s">
        <v>54</v>
      </c>
      <c r="C46" s="44" t="s">
        <v>55</v>
      </c>
      <c r="D46" s="44"/>
      <c r="E46" s="13" t="s">
        <v>56</v>
      </c>
      <c r="F46" s="13" t="s">
        <v>57</v>
      </c>
      <c r="G46" s="13" t="s">
        <v>58</v>
      </c>
      <c r="H46" s="13" t="s">
        <v>59</v>
      </c>
    </row>
    <row r="47" spans="2:9" x14ac:dyDescent="0.3">
      <c r="B47" s="14" t="s">
        <v>60</v>
      </c>
      <c r="C47" s="45" t="s">
        <v>41</v>
      </c>
      <c r="D47" s="45"/>
      <c r="E47" s="16" t="s">
        <v>61</v>
      </c>
      <c r="F47" s="17">
        <v>50000000</v>
      </c>
      <c r="G47" s="18">
        <v>43370</v>
      </c>
      <c r="H47" s="18">
        <v>48849</v>
      </c>
    </row>
    <row r="48" spans="2:9" x14ac:dyDescent="0.3">
      <c r="B48" s="14" t="s">
        <v>62</v>
      </c>
      <c r="C48" s="45" t="s">
        <v>42</v>
      </c>
      <c r="D48" s="45"/>
      <c r="E48" s="16" t="s">
        <v>61</v>
      </c>
      <c r="F48" s="17">
        <v>0</v>
      </c>
      <c r="G48" s="18">
        <v>45294</v>
      </c>
      <c r="H48" s="18">
        <v>47121</v>
      </c>
    </row>
    <row r="49" spans="2:10" x14ac:dyDescent="0.3">
      <c r="B49" s="14" t="s">
        <v>60</v>
      </c>
      <c r="C49" s="45" t="s">
        <v>43</v>
      </c>
      <c r="D49" s="45"/>
      <c r="E49" s="16" t="s">
        <v>61</v>
      </c>
      <c r="F49" s="17">
        <v>60000000</v>
      </c>
      <c r="G49" s="18">
        <v>43399</v>
      </c>
      <c r="H49" s="18">
        <v>401119</v>
      </c>
    </row>
    <row r="50" spans="2:10" x14ac:dyDescent="0.3">
      <c r="B50" s="14" t="s">
        <v>60</v>
      </c>
      <c r="C50" s="45" t="s">
        <v>44</v>
      </c>
      <c r="D50" s="45"/>
      <c r="E50" s="16" t="s">
        <v>61</v>
      </c>
      <c r="F50" s="17">
        <v>10000000</v>
      </c>
      <c r="G50" s="18">
        <v>43077</v>
      </c>
      <c r="H50" s="18">
        <v>50382</v>
      </c>
    </row>
    <row r="51" spans="2:10" x14ac:dyDescent="0.3">
      <c r="B51" s="14" t="s">
        <v>62</v>
      </c>
      <c r="C51" s="45" t="s">
        <v>45</v>
      </c>
      <c r="D51" s="45"/>
      <c r="E51" s="16" t="s">
        <v>61</v>
      </c>
      <c r="F51" s="17">
        <v>776330</v>
      </c>
      <c r="G51" s="18">
        <v>46211</v>
      </c>
      <c r="H51" s="18">
        <v>46576</v>
      </c>
    </row>
    <row r="52" spans="2:10" x14ac:dyDescent="0.3">
      <c r="B52" s="49" t="s">
        <v>1</v>
      </c>
      <c r="C52" s="50" t="s">
        <v>63</v>
      </c>
      <c r="D52" s="50"/>
      <c r="E52" s="19" t="s">
        <v>64</v>
      </c>
      <c r="F52" s="19" t="s">
        <v>65</v>
      </c>
      <c r="G52" s="19"/>
      <c r="H52" s="20"/>
    </row>
    <row r="53" spans="2:10" x14ac:dyDescent="0.3">
      <c r="B53" s="49"/>
      <c r="C53" s="51" t="s">
        <v>66</v>
      </c>
      <c r="D53" s="51"/>
      <c r="E53" s="21" t="s">
        <v>67</v>
      </c>
      <c r="F53" s="22">
        <f>SUM(F47:F51)</f>
        <v>120776330</v>
      </c>
      <c r="G53" s="21"/>
      <c r="H53" s="23"/>
    </row>
    <row r="55" spans="2:10" ht="20.25" x14ac:dyDescent="0.3">
      <c r="B55" s="1" t="s">
        <v>68</v>
      </c>
    </row>
    <row r="56" spans="2:10" x14ac:dyDescent="0.3">
      <c r="B56" t="s">
        <v>69</v>
      </c>
    </row>
    <row r="57" spans="2:10" x14ac:dyDescent="0.3">
      <c r="B57" s="12" t="s">
        <v>70</v>
      </c>
      <c r="C57" s="13" t="s">
        <v>54</v>
      </c>
      <c r="D57" s="44" t="s">
        <v>6</v>
      </c>
      <c r="E57" s="44"/>
      <c r="F57" s="13" t="s">
        <v>71</v>
      </c>
      <c r="G57" s="13" t="s">
        <v>72</v>
      </c>
      <c r="H57" s="13" t="s">
        <v>73</v>
      </c>
      <c r="I57" s="13" t="s">
        <v>74</v>
      </c>
      <c r="J57" s="13" t="s">
        <v>59</v>
      </c>
    </row>
    <row r="58" spans="2:10" x14ac:dyDescent="0.3">
      <c r="B58" s="14" t="s">
        <v>75</v>
      </c>
      <c r="C58" s="15" t="s">
        <v>76</v>
      </c>
      <c r="D58" s="45" t="s">
        <v>29</v>
      </c>
      <c r="E58" s="45"/>
      <c r="F58" s="17">
        <v>1277189</v>
      </c>
      <c r="G58" s="17">
        <v>1919980</v>
      </c>
      <c r="H58" s="24">
        <v>50.328573139918987</v>
      </c>
      <c r="I58" s="18"/>
      <c r="J58" s="18"/>
    </row>
    <row r="59" spans="2:10" x14ac:dyDescent="0.3">
      <c r="B59" s="14" t="s">
        <v>75</v>
      </c>
      <c r="C59" s="15" t="s">
        <v>76</v>
      </c>
      <c r="D59" s="45" t="s">
        <v>30</v>
      </c>
      <c r="E59" s="45"/>
      <c r="F59" s="17">
        <v>1737959</v>
      </c>
      <c r="G59" s="17">
        <v>1726080</v>
      </c>
      <c r="H59" s="24">
        <v>-0.68350289045944124</v>
      </c>
      <c r="I59" s="18"/>
      <c r="J59" s="18"/>
    </row>
    <row r="60" spans="2:10" x14ac:dyDescent="0.3">
      <c r="B60" s="52" t="s">
        <v>1</v>
      </c>
      <c r="C60" s="19"/>
      <c r="D60" s="50" t="s">
        <v>77</v>
      </c>
      <c r="E60" s="50"/>
      <c r="F60" s="19" t="s">
        <v>78</v>
      </c>
      <c r="G60" s="19" t="s">
        <v>79</v>
      </c>
      <c r="H60" s="19" t="s">
        <v>80</v>
      </c>
      <c r="I60" s="19"/>
      <c r="J60" s="20"/>
    </row>
    <row r="61" spans="2:10" x14ac:dyDescent="0.3">
      <c r="B61" s="52"/>
      <c r="C61" s="21"/>
      <c r="D61" s="51" t="s">
        <v>81</v>
      </c>
      <c r="E61" s="51"/>
      <c r="F61" s="22">
        <f>SUM(F58:F59)</f>
        <v>3015148</v>
      </c>
      <c r="G61" s="22">
        <f>SUM(G58:G59)</f>
        <v>3646060</v>
      </c>
      <c r="H61" s="25">
        <f>(SUM(G58:G59) - SUM(F58:F59)) * 100 / IF(SUM(F58:F59), SUM(F58:F59), 1)</f>
        <v>20.924743992666365</v>
      </c>
      <c r="I61" s="21"/>
      <c r="J61" s="23"/>
    </row>
    <row r="63" spans="2:10" ht="20.25" x14ac:dyDescent="0.3">
      <c r="B63" s="1" t="s">
        <v>82</v>
      </c>
    </row>
    <row r="64" spans="2:10" x14ac:dyDescent="0.3">
      <c r="B64" t="s">
        <v>83</v>
      </c>
    </row>
    <row r="65" spans="2:10" x14ac:dyDescent="0.3">
      <c r="B65" s="26" t="s">
        <v>84</v>
      </c>
      <c r="C65" s="27" t="s">
        <v>54</v>
      </c>
      <c r="D65" s="54" t="s">
        <v>6</v>
      </c>
      <c r="E65" s="54"/>
      <c r="F65" s="27" t="s">
        <v>85</v>
      </c>
      <c r="G65" s="27" t="s">
        <v>86</v>
      </c>
      <c r="H65" s="27" t="s">
        <v>87</v>
      </c>
      <c r="I65" s="27" t="s">
        <v>88</v>
      </c>
      <c r="J65" s="27" t="s">
        <v>89</v>
      </c>
    </row>
    <row r="66" spans="2:10" x14ac:dyDescent="0.3">
      <c r="B66" s="14" t="s">
        <v>90</v>
      </c>
      <c r="C66" s="15" t="s">
        <v>91</v>
      </c>
      <c r="D66" s="45" t="s">
        <v>48</v>
      </c>
      <c r="E66" s="45"/>
      <c r="F66" s="17">
        <v>600000000</v>
      </c>
      <c r="G66" s="17">
        <v>600000000</v>
      </c>
      <c r="H66" s="15">
        <v>4.08</v>
      </c>
      <c r="I66" s="18">
        <v>46192</v>
      </c>
      <c r="J66" s="18">
        <v>57123</v>
      </c>
    </row>
    <row r="67" spans="2:10" x14ac:dyDescent="0.3">
      <c r="B67" s="52" t="s">
        <v>1</v>
      </c>
      <c r="C67" s="19"/>
      <c r="D67" s="50" t="s">
        <v>92</v>
      </c>
      <c r="E67" s="50"/>
      <c r="F67" s="19" t="s">
        <v>93</v>
      </c>
      <c r="G67" s="19" t="s">
        <v>94</v>
      </c>
      <c r="H67" s="19"/>
      <c r="I67" s="19"/>
      <c r="J67" s="20"/>
    </row>
    <row r="68" spans="2:10" x14ac:dyDescent="0.3">
      <c r="B68" s="52"/>
      <c r="C68" s="21"/>
      <c r="D68" s="53">
        <f>SUM(1)</f>
        <v>1</v>
      </c>
      <c r="E68" s="53"/>
      <c r="F68" s="22">
        <f>SUM(F66)</f>
        <v>600000000</v>
      </c>
      <c r="G68" s="22">
        <f>SUM(G66)</f>
        <v>600000000</v>
      </c>
      <c r="H68" s="21"/>
      <c r="I68" s="21"/>
      <c r="J68" s="23"/>
    </row>
  </sheetData>
  <mergeCells count="100">
    <mergeCell ref="D65:E65"/>
    <mergeCell ref="D66:E66"/>
    <mergeCell ref="B67:B68"/>
    <mergeCell ref="D67:E67"/>
    <mergeCell ref="D68:E68"/>
    <mergeCell ref="B60:B61"/>
    <mergeCell ref="D60:E60"/>
    <mergeCell ref="D61:E61"/>
    <mergeCell ref="C49:D49"/>
    <mergeCell ref="C50:D50"/>
    <mergeCell ref="C51:D51"/>
    <mergeCell ref="B52:B53"/>
    <mergeCell ref="C52:D52"/>
    <mergeCell ref="C53:D53"/>
    <mergeCell ref="D57:E57"/>
    <mergeCell ref="D58:E58"/>
    <mergeCell ref="D59:E59"/>
    <mergeCell ref="B40:I40"/>
    <mergeCell ref="B41:I41"/>
    <mergeCell ref="C46:D46"/>
    <mergeCell ref="C47:D47"/>
    <mergeCell ref="C48:D48"/>
    <mergeCell ref="G16:H16"/>
    <mergeCell ref="G17:H17"/>
    <mergeCell ref="G18:H18"/>
    <mergeCell ref="G38:H38"/>
    <mergeCell ref="B39:D39"/>
    <mergeCell ref="F39:H39"/>
    <mergeCell ref="C38:D38"/>
    <mergeCell ref="G10:H10"/>
    <mergeCell ref="G11:H11"/>
    <mergeCell ref="G12:H12"/>
    <mergeCell ref="G13:H13"/>
    <mergeCell ref="G15:H15"/>
    <mergeCell ref="G5:H5"/>
    <mergeCell ref="G6:H6"/>
    <mergeCell ref="G7:H7"/>
    <mergeCell ref="G8:H8"/>
    <mergeCell ref="G9:H9"/>
    <mergeCell ref="G19:H19"/>
    <mergeCell ref="G33:H33"/>
    <mergeCell ref="G34:H34"/>
    <mergeCell ref="G35:H35"/>
    <mergeCell ref="G36:H36"/>
    <mergeCell ref="G23:H23"/>
    <mergeCell ref="G24:H24"/>
    <mergeCell ref="G25:H25"/>
    <mergeCell ref="G26:H26"/>
    <mergeCell ref="G27:H27"/>
    <mergeCell ref="G20:H20"/>
    <mergeCell ref="G21:H21"/>
    <mergeCell ref="G22:H22"/>
    <mergeCell ref="G37:H37"/>
    <mergeCell ref="G28:H28"/>
    <mergeCell ref="G29:H29"/>
    <mergeCell ref="G30:H30"/>
    <mergeCell ref="G31:H31"/>
    <mergeCell ref="G32:H32"/>
    <mergeCell ref="C30:D30"/>
    <mergeCell ref="C31:D31"/>
    <mergeCell ref="C32:D32"/>
    <mergeCell ref="B33:B37"/>
    <mergeCell ref="C33:D33"/>
    <mergeCell ref="C34:D34"/>
    <mergeCell ref="C35:D35"/>
    <mergeCell ref="C36:D36"/>
    <mergeCell ref="C37:D37"/>
    <mergeCell ref="B22:B29"/>
    <mergeCell ref="C22:D22"/>
    <mergeCell ref="C23:D23"/>
    <mergeCell ref="C24:D24"/>
    <mergeCell ref="C25:D25"/>
    <mergeCell ref="C26:D26"/>
    <mergeCell ref="C27:D27"/>
    <mergeCell ref="C28:D28"/>
    <mergeCell ref="C29:D29"/>
    <mergeCell ref="C15:D15"/>
    <mergeCell ref="C16:D16"/>
    <mergeCell ref="C17:D17"/>
    <mergeCell ref="B18:B21"/>
    <mergeCell ref="C18:D18"/>
    <mergeCell ref="C19:D19"/>
    <mergeCell ref="C20:D20"/>
    <mergeCell ref="C21:D21"/>
    <mergeCell ref="B3:E3"/>
    <mergeCell ref="F3:I3"/>
    <mergeCell ref="C4:D4"/>
    <mergeCell ref="G4:H4"/>
    <mergeCell ref="B5:B1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G14:H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뱅샐현황(재은)</vt:lpstr>
      <vt:lpstr>뱅샐현황(영범)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choi</cp:lastModifiedBy>
  <dcterms:created xsi:type="dcterms:W3CDTF">2026-07-13T09:48:18Z</dcterms:created>
  <dcterms:modified xsi:type="dcterms:W3CDTF">2026-07-27T14:42:36Z</dcterms:modified>
</cp:coreProperties>
</file>