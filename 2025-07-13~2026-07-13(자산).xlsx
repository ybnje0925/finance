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블로그\용쨔푸리의 블로그세상\가계부\"/>
    </mc:Choice>
  </mc:AlternateContent>
  <bookViews>
    <workbookView xWindow="240" yWindow="15" windowWidth="16095" windowHeight="9660"/>
  </bookViews>
  <sheets>
    <sheet name="뱅샐현황" sheetId="1" r:id="rId1"/>
  </sheets>
  <calcPr calcId="162913"/>
</workbook>
</file>

<file path=xl/calcChain.xml><?xml version="1.0" encoding="utf-8"?>
<calcChain xmlns="http://schemas.openxmlformats.org/spreadsheetml/2006/main">
  <c r="G68" i="1" l="1"/>
  <c r="F68" i="1"/>
  <c r="D68" i="1"/>
  <c r="H61" i="1"/>
  <c r="G61" i="1"/>
  <c r="F61" i="1"/>
  <c r="F53" i="1"/>
  <c r="I39" i="1"/>
  <c r="E39" i="1"/>
  <c r="B41" i="1" s="1"/>
</calcChain>
</file>

<file path=xl/sharedStrings.xml><?xml version="1.0" encoding="utf-8"?>
<sst xmlns="http://schemas.openxmlformats.org/spreadsheetml/2006/main" count="123" uniqueCount="95">
  <si>
    <t>항목</t>
  </si>
  <si>
    <t>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</si>
  <si>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</si>
  <si>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</si>
  <si>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</si>
  <si>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</si>
  <si>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</si>
  <si>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</si>
  <si>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</si>
  <si>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KB Star*t통장-저축예금</t>
  </si>
  <si>
    <t>KB Wise통장-저축예금</t>
  </si>
  <si>
    <t>KB국민ONE통장-저축예금</t>
  </si>
  <si>
    <t>MY 입출금통장</t>
  </si>
  <si>
    <t>NH주거래우대통장</t>
  </si>
  <si>
    <t>U드림 저축예금 (인터넷전용)</t>
  </si>
  <si>
    <t>WON 통장</t>
  </si>
  <si>
    <t>입출금통장</t>
  </si>
  <si>
    <t>저금통</t>
  </si>
  <si>
    <t>신탁 자산</t>
  </si>
  <si>
    <t>현금 자산</t>
  </si>
  <si>
    <t>현금</t>
  </si>
  <si>
    <t>저축성 자산</t>
  </si>
  <si>
    <t>NH올원e적금</t>
  </si>
  <si>
    <t>전자금융 자산</t>
  </si>
  <si>
    <t>네이버페이 머니 - ybnj****</t>
  </si>
  <si>
    <t>네이버페이 머니 - tom1****</t>
  </si>
  <si>
    <t>카카오페이 머니 - 010*****427</t>
  </si>
  <si>
    <t>토스머니</t>
  </si>
  <si>
    <t>투자성 자산</t>
  </si>
  <si>
    <t>TIGER 미국S&amp;P500</t>
  </si>
  <si>
    <t>KODEX 차이나테크TOP10</t>
  </si>
  <si>
    <t>100세연금저축펀드</t>
  </si>
  <si>
    <t>CMA계좌</t>
  </si>
  <si>
    <t>기본계좌</t>
  </si>
  <si>
    <t>종합매매</t>
  </si>
  <si>
    <t>종합위탁</t>
  </si>
  <si>
    <t>중개형ISA</t>
  </si>
  <si>
    <t>부동산</t>
  </si>
  <si>
    <t>동산</t>
  </si>
  <si>
    <t>기타 실물 자산</t>
  </si>
  <si>
    <t>보험 자산</t>
  </si>
  <si>
    <t>올인원암_1종처음끝(순수,무)</t>
  </si>
  <si>
    <t>무배당 삼성화재 다이렉트 실손의료비보험(2304.3)</t>
  </si>
  <si>
    <t>삼성생명 실속든든종신보험 (무배당)</t>
  </si>
  <si>
    <t>삼성생명 New퍼펙트상해보험(재가입형,무배당)</t>
  </si>
  <si>
    <t>애니카다이렉트_개인용</t>
  </si>
  <si>
    <t>연금 자산</t>
  </si>
  <si>
    <t>장기대출</t>
  </si>
  <si>
    <t>(주택자금)NH주택담보대출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</si>
  <si>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</si>
  <si>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</si>
  <si>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</si>
  <si>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</si>
  <si>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</si>
  <si>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</si>
  <si>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</si>
  <si>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</si>
  <si>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</si>
  <si>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</si>
  <si>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</si>
  <si>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삼성생명</t>
  </si>
  <si>
    <t>정상</t>
  </si>
  <si>
    <t>삼성화재</t>
  </si>
  <si>
    <t>보유계약건수</t>
  </si>
  <si>
    <t>정상 5건</t>
  </si>
  <si>
    <t>총 납입금</t>
  </si>
  <si>
    <t>총 5건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</si>
  <si>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</si>
  <si>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</si>
  <si>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</si>
  <si>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</si>
  <si>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</si>
  <si>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</si>
  <si>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</si>
  <si>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</si>
  <si>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</si>
  <si>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NH투자증권</t>
  </si>
  <si>
    <t>보유상품개수</t>
  </si>
  <si>
    <t>총 투자 원금</t>
  </si>
  <si>
    <t>총 평가 금액</t>
  </si>
  <si>
    <t>총 수익률</t>
  </si>
  <si>
    <t>총 2개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</si>
  <si>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</si>
  <si>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</si>
  <si>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</si>
  <si>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</si>
  <si>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</si>
  <si>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</si>
  <si>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</si>
  <si>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</si>
  <si>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</si>
  <si>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농협은행</t>
  </si>
  <si>
    <t>보유 대출 상품</t>
  </si>
  <si>
    <t>총 대출 원금</t>
  </si>
  <si>
    <t>총 대출 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</si>
</sst>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\-mm\-dd"/>
    <numFmt numFmtId="177" formatCode="#,##0.00\ &quot;%&quot;\ "/>
  </numFmts>
  <fonts count="5" x14ac:knownFonts="1">
    <font>
      <sz val="11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/>
    <xf numFmtId="3" fontId="0" fillId="0" borderId="7" xfId="0" applyNumberFormat="1" applyBorder="1"/>
    <xf numFmtId="0" fontId="2" fillId="0" borderId="7" xfId="0" applyFont="1" applyBorder="1" applyAlignment="1">
      <alignment horizontal="center" vertical="center"/>
    </xf>
    <xf numFmtId="3" fontId="0" fillId="0" borderId="8" xfId="0" applyNumberFormat="1" applyBorder="1"/>
    <xf numFmtId="0" fontId="0" fillId="0" borderId="8" xfId="0" applyBorder="1"/>
    <xf numFmtId="3" fontId="2" fillId="6" borderId="7" xfId="0" applyNumberFormat="1" applyFont="1" applyFill="1" applyBorder="1"/>
    <xf numFmtId="3" fontId="2" fillId="6" borderId="8" xfId="0" applyNumberFormat="1" applyFont="1" applyFill="1" applyBorder="1"/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3" fontId="0" fillId="0" borderId="13" xfId="0" applyNumberFormat="1" applyBorder="1"/>
    <xf numFmtId="176" fontId="0" fillId="0" borderId="2" xfId="0" applyNumberFormat="1" applyBorder="1"/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3" fontId="2" fillId="5" borderId="16" xfId="0" applyNumberFormat="1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4" fontId="0" fillId="0" borderId="13" xfId="0" applyNumberFormat="1" applyBorder="1"/>
    <xf numFmtId="177" fontId="2" fillId="5" borderId="16" xfId="0" applyNumberFormat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3" fontId="3" fillId="7" borderId="3" xfId="0" applyNumberFormat="1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0" fillId="0" borderId="2" xfId="0" applyBorder="1"/>
    <xf numFmtId="3" fontId="2" fillId="5" borderId="16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0" fillId="0" borderId="7" xfId="0" applyBorder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3" fontId="2" fillId="6" borderId="10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8"/>
  <sheetViews>
    <sheetView tabSelected="1" workbookViewId="0">
      <selection activeCell="C27" sqref="C27:D27"/>
    </sheetView>
  </sheetViews>
  <sheetFormatPr defaultRowHeight="16.5" x14ac:dyDescent="0.3"/>
  <cols>
    <col min="1" max="1" width="2.75" customWidth="1"/>
    <col min="2" max="18" width="16.75" customWidth="1"/>
  </cols>
  <sheetData>
    <row r="1" spans="2:9" ht="20.25" x14ac:dyDescent="0.3">
      <c r="B1" s="1" t="s">
        <v>2</v>
      </c>
    </row>
    <row r="2" spans="2:9" x14ac:dyDescent="0.3">
      <c r="B2" t="s">
        <v>3</v>
      </c>
    </row>
    <row r="3" spans="2:9" x14ac:dyDescent="0.3">
      <c r="B3" s="42" t="s">
        <v>4</v>
      </c>
      <c r="C3" s="42"/>
      <c r="D3" s="42"/>
      <c r="E3" s="42"/>
      <c r="F3" s="43" t="s">
        <v>5</v>
      </c>
      <c r="G3" s="43"/>
      <c r="H3" s="43"/>
      <c r="I3" s="43"/>
    </row>
    <row r="4" spans="2:9" x14ac:dyDescent="0.3">
      <c r="B4" s="2" t="s">
        <v>0</v>
      </c>
      <c r="C4" s="44" t="s">
        <v>6</v>
      </c>
      <c r="D4" s="44"/>
      <c r="E4" s="3" t="s">
        <v>7</v>
      </c>
      <c r="F4" s="3" t="s">
        <v>0</v>
      </c>
      <c r="G4" s="44" t="s">
        <v>6</v>
      </c>
      <c r="H4" s="44"/>
      <c r="I4" s="3" t="s">
        <v>7</v>
      </c>
    </row>
    <row r="5" spans="2:9" x14ac:dyDescent="0.3">
      <c r="B5" s="41" t="s">
        <v>8</v>
      </c>
      <c r="C5" s="36" t="s">
        <v>9</v>
      </c>
      <c r="D5" s="36"/>
      <c r="E5" s="6">
        <v>3931685</v>
      </c>
      <c r="F5" s="7" t="s">
        <v>47</v>
      </c>
      <c r="G5" s="36" t="s">
        <v>48</v>
      </c>
      <c r="H5" s="36"/>
      <c r="I5" s="8">
        <v>600000000</v>
      </c>
    </row>
    <row r="6" spans="2:9" x14ac:dyDescent="0.3">
      <c r="B6" s="41"/>
      <c r="C6" s="36" t="s">
        <v>10</v>
      </c>
      <c r="D6" s="36"/>
      <c r="E6" s="6">
        <v>13090630</v>
      </c>
      <c r="F6" s="5"/>
      <c r="G6" s="36"/>
      <c r="H6" s="36"/>
      <c r="I6" s="9"/>
    </row>
    <row r="7" spans="2:9" x14ac:dyDescent="0.3">
      <c r="B7" s="41"/>
      <c r="C7" s="36" t="s">
        <v>11</v>
      </c>
      <c r="D7" s="36"/>
      <c r="E7" s="6">
        <v>41</v>
      </c>
      <c r="F7" s="5"/>
      <c r="G7" s="36"/>
      <c r="H7" s="36"/>
      <c r="I7" s="9"/>
    </row>
    <row r="8" spans="2:9" x14ac:dyDescent="0.3">
      <c r="B8" s="41"/>
      <c r="C8" s="36" t="s">
        <v>12</v>
      </c>
      <c r="D8" s="36"/>
      <c r="E8" s="6">
        <v>2</v>
      </c>
      <c r="F8" s="5"/>
      <c r="G8" s="36"/>
      <c r="H8" s="36"/>
      <c r="I8" s="9"/>
    </row>
    <row r="9" spans="2:9" x14ac:dyDescent="0.3">
      <c r="B9" s="41"/>
      <c r="C9" s="36" t="s">
        <v>13</v>
      </c>
      <c r="D9" s="36"/>
      <c r="E9" s="6">
        <v>3269297</v>
      </c>
      <c r="F9" s="5"/>
      <c r="G9" s="36"/>
      <c r="H9" s="36"/>
      <c r="I9" s="9"/>
    </row>
    <row r="10" spans="2:9" x14ac:dyDescent="0.3">
      <c r="B10" s="41"/>
      <c r="C10" s="36" t="s">
        <v>14</v>
      </c>
      <c r="D10" s="36"/>
      <c r="E10" s="6">
        <v>1107</v>
      </c>
      <c r="F10" s="5"/>
      <c r="G10" s="36"/>
      <c r="H10" s="36"/>
      <c r="I10" s="9"/>
    </row>
    <row r="11" spans="2:9" x14ac:dyDescent="0.3">
      <c r="B11" s="41"/>
      <c r="C11" s="36" t="s">
        <v>15</v>
      </c>
      <c r="D11" s="36"/>
      <c r="E11" s="6">
        <v>126</v>
      </c>
      <c r="F11" s="5"/>
      <c r="G11" s="36"/>
      <c r="H11" s="36"/>
      <c r="I11" s="9"/>
    </row>
    <row r="12" spans="2:9" x14ac:dyDescent="0.3">
      <c r="B12" s="41"/>
      <c r="C12" s="36" t="s">
        <v>16</v>
      </c>
      <c r="D12" s="36"/>
      <c r="E12" s="6">
        <v>6449648</v>
      </c>
      <c r="F12" s="5"/>
      <c r="G12" s="36"/>
      <c r="H12" s="36"/>
      <c r="I12" s="9"/>
    </row>
    <row r="13" spans="2:9" x14ac:dyDescent="0.3">
      <c r="B13" s="41"/>
      <c r="C13" s="36" t="s">
        <v>16</v>
      </c>
      <c r="D13" s="36"/>
      <c r="E13" s="6">
        <v>7000</v>
      </c>
      <c r="F13" s="5"/>
      <c r="G13" s="36"/>
      <c r="H13" s="36"/>
      <c r="I13" s="9"/>
    </row>
    <row r="14" spans="2:9" x14ac:dyDescent="0.3">
      <c r="B14" s="41"/>
      <c r="C14" s="36" t="s">
        <v>17</v>
      </c>
      <c r="D14" s="36"/>
      <c r="E14" s="6">
        <v>41506</v>
      </c>
      <c r="F14" s="5"/>
      <c r="G14" s="36"/>
      <c r="H14" s="36"/>
      <c r="I14" s="9"/>
    </row>
    <row r="15" spans="2:9" x14ac:dyDescent="0.3">
      <c r="B15" s="4" t="s">
        <v>18</v>
      </c>
      <c r="C15" s="36"/>
      <c r="D15" s="36"/>
      <c r="E15" s="6"/>
      <c r="F15" s="5"/>
      <c r="G15" s="36"/>
      <c r="H15" s="36"/>
      <c r="I15" s="9"/>
    </row>
    <row r="16" spans="2:9" x14ac:dyDescent="0.3">
      <c r="B16" s="4" t="s">
        <v>19</v>
      </c>
      <c r="C16" s="36" t="s">
        <v>20</v>
      </c>
      <c r="D16" s="36"/>
      <c r="E16" s="6">
        <v>0</v>
      </c>
      <c r="F16" s="5"/>
      <c r="G16" s="36"/>
      <c r="H16" s="36"/>
      <c r="I16" s="9"/>
    </row>
    <row r="17" spans="2:9" x14ac:dyDescent="0.3">
      <c r="B17" s="4" t="s">
        <v>21</v>
      </c>
      <c r="C17" s="36" t="s">
        <v>22</v>
      </c>
      <c r="D17" s="36"/>
      <c r="E17" s="6">
        <v>100000</v>
      </c>
      <c r="F17" s="5"/>
      <c r="G17" s="36"/>
      <c r="H17" s="36"/>
      <c r="I17" s="9"/>
    </row>
    <row r="18" spans="2:9" x14ac:dyDescent="0.3">
      <c r="B18" s="41" t="s">
        <v>23</v>
      </c>
      <c r="C18" s="36" t="s">
        <v>24</v>
      </c>
      <c r="D18" s="36"/>
      <c r="E18" s="6">
        <v>0</v>
      </c>
      <c r="F18" s="5"/>
      <c r="G18" s="36"/>
      <c r="H18" s="36"/>
      <c r="I18" s="9"/>
    </row>
    <row r="19" spans="2:9" x14ac:dyDescent="0.3">
      <c r="B19" s="41"/>
      <c r="C19" s="36" t="s">
        <v>25</v>
      </c>
      <c r="D19" s="36"/>
      <c r="E19" s="6">
        <v>0</v>
      </c>
      <c r="F19" s="5"/>
      <c r="G19" s="36"/>
      <c r="H19" s="36"/>
      <c r="I19" s="9"/>
    </row>
    <row r="20" spans="2:9" x14ac:dyDescent="0.3">
      <c r="B20" s="41"/>
      <c r="C20" s="36" t="s">
        <v>26</v>
      </c>
      <c r="D20" s="36"/>
      <c r="E20" s="6">
        <v>12000</v>
      </c>
      <c r="F20" s="5"/>
      <c r="G20" s="36"/>
      <c r="H20" s="36"/>
      <c r="I20" s="9"/>
    </row>
    <row r="21" spans="2:9" x14ac:dyDescent="0.3">
      <c r="B21" s="41"/>
      <c r="C21" s="36" t="s">
        <v>27</v>
      </c>
      <c r="D21" s="36"/>
      <c r="E21" s="6">
        <v>0</v>
      </c>
      <c r="F21" s="5"/>
      <c r="G21" s="36"/>
      <c r="H21" s="36"/>
      <c r="I21" s="9"/>
    </row>
    <row r="22" spans="2:9" x14ac:dyDescent="0.3">
      <c r="B22" s="41" t="s">
        <v>28</v>
      </c>
      <c r="C22" s="36" t="s">
        <v>29</v>
      </c>
      <c r="D22" s="36"/>
      <c r="E22" s="6">
        <v>1919980</v>
      </c>
      <c r="F22" s="5"/>
      <c r="G22" s="36"/>
      <c r="H22" s="36"/>
      <c r="I22" s="9"/>
    </row>
    <row r="23" spans="2:9" x14ac:dyDescent="0.3">
      <c r="B23" s="41"/>
      <c r="C23" s="36" t="s">
        <v>30</v>
      </c>
      <c r="D23" s="36"/>
      <c r="E23" s="6">
        <v>1726080</v>
      </c>
      <c r="F23" s="5"/>
      <c r="G23" s="36"/>
      <c r="H23" s="36"/>
      <c r="I23" s="9"/>
    </row>
    <row r="24" spans="2:9" x14ac:dyDescent="0.3">
      <c r="B24" s="41"/>
      <c r="C24" s="36" t="s">
        <v>31</v>
      </c>
      <c r="D24" s="36"/>
      <c r="E24" s="6">
        <v>20105</v>
      </c>
      <c r="F24" s="5"/>
      <c r="G24" s="36"/>
      <c r="H24" s="36"/>
      <c r="I24" s="9"/>
    </row>
    <row r="25" spans="2:9" x14ac:dyDescent="0.3">
      <c r="B25" s="41"/>
      <c r="C25" s="36" t="s">
        <v>32</v>
      </c>
      <c r="D25" s="36"/>
      <c r="E25" s="6">
        <v>446955.17499999999</v>
      </c>
      <c r="F25" s="5"/>
      <c r="G25" s="36"/>
      <c r="H25" s="36"/>
      <c r="I25" s="9"/>
    </row>
    <row r="26" spans="2:9" x14ac:dyDescent="0.3">
      <c r="B26" s="41"/>
      <c r="C26" s="36" t="s">
        <v>33</v>
      </c>
      <c r="D26" s="36"/>
      <c r="E26" s="6">
        <v>3481.8249999999998</v>
      </c>
      <c r="F26" s="5"/>
      <c r="G26" s="36"/>
      <c r="H26" s="36"/>
      <c r="I26" s="9"/>
    </row>
    <row r="27" spans="2:9" x14ac:dyDescent="0.3">
      <c r="B27" s="41"/>
      <c r="C27" s="36" t="s">
        <v>34</v>
      </c>
      <c r="D27" s="36"/>
      <c r="E27" s="6">
        <v>282</v>
      </c>
      <c r="F27" s="5"/>
      <c r="G27" s="36"/>
      <c r="H27" s="36"/>
      <c r="I27" s="9"/>
    </row>
    <row r="28" spans="2:9" x14ac:dyDescent="0.3">
      <c r="B28" s="41"/>
      <c r="C28" s="36" t="s">
        <v>35</v>
      </c>
      <c r="D28" s="36"/>
      <c r="E28" s="6">
        <v>693121</v>
      </c>
      <c r="F28" s="5"/>
      <c r="G28" s="36"/>
      <c r="H28" s="36"/>
      <c r="I28" s="9"/>
    </row>
    <row r="29" spans="2:9" x14ac:dyDescent="0.3">
      <c r="B29" s="41"/>
      <c r="C29" s="36" t="s">
        <v>36</v>
      </c>
      <c r="D29" s="36"/>
      <c r="E29" s="6">
        <v>1</v>
      </c>
      <c r="F29" s="5"/>
      <c r="G29" s="36"/>
      <c r="H29" s="36"/>
      <c r="I29" s="9"/>
    </row>
    <row r="30" spans="2:9" x14ac:dyDescent="0.3">
      <c r="B30" s="4" t="s">
        <v>37</v>
      </c>
      <c r="C30" s="36"/>
      <c r="D30" s="36"/>
      <c r="E30" s="6"/>
      <c r="F30" s="5"/>
      <c r="G30" s="36"/>
      <c r="H30" s="36"/>
      <c r="I30" s="9"/>
    </row>
    <row r="31" spans="2:9" x14ac:dyDescent="0.3">
      <c r="B31" s="4" t="s">
        <v>38</v>
      </c>
      <c r="C31" s="36"/>
      <c r="D31" s="36"/>
      <c r="E31" s="6"/>
      <c r="F31" s="5"/>
      <c r="G31" s="36"/>
      <c r="H31" s="36"/>
      <c r="I31" s="9"/>
    </row>
    <row r="32" spans="2:9" x14ac:dyDescent="0.3">
      <c r="B32" s="4" t="s">
        <v>39</v>
      </c>
      <c r="C32" s="36"/>
      <c r="D32" s="36"/>
      <c r="E32" s="6"/>
      <c r="F32" s="5"/>
      <c r="G32" s="36"/>
      <c r="H32" s="36"/>
      <c r="I32" s="9"/>
    </row>
    <row r="33" spans="2:9" x14ac:dyDescent="0.3">
      <c r="B33" s="41" t="s">
        <v>40</v>
      </c>
      <c r="C33" s="36" t="s">
        <v>41</v>
      </c>
      <c r="D33" s="36"/>
      <c r="E33" s="6">
        <v>0</v>
      </c>
      <c r="F33" s="5"/>
      <c r="G33" s="36"/>
      <c r="H33" s="36"/>
      <c r="I33" s="9"/>
    </row>
    <row r="34" spans="2:9" x14ac:dyDescent="0.3">
      <c r="B34" s="41"/>
      <c r="C34" s="36" t="s">
        <v>42</v>
      </c>
      <c r="D34" s="36"/>
      <c r="E34" s="6">
        <v>0</v>
      </c>
      <c r="F34" s="5"/>
      <c r="G34" s="36"/>
      <c r="H34" s="36"/>
      <c r="I34" s="9"/>
    </row>
    <row r="35" spans="2:9" x14ac:dyDescent="0.3">
      <c r="B35" s="41"/>
      <c r="C35" s="36" t="s">
        <v>43</v>
      </c>
      <c r="D35" s="36"/>
      <c r="E35" s="6">
        <v>0</v>
      </c>
      <c r="F35" s="5"/>
      <c r="G35" s="36"/>
      <c r="H35" s="36"/>
      <c r="I35" s="9"/>
    </row>
    <row r="36" spans="2:9" x14ac:dyDescent="0.3">
      <c r="B36" s="41"/>
      <c r="C36" s="36" t="s">
        <v>44</v>
      </c>
      <c r="D36" s="36"/>
      <c r="E36" s="6">
        <v>0</v>
      </c>
      <c r="F36" s="5"/>
      <c r="G36" s="36"/>
      <c r="H36" s="36"/>
      <c r="I36" s="9"/>
    </row>
    <row r="37" spans="2:9" x14ac:dyDescent="0.3">
      <c r="B37" s="41"/>
      <c r="C37" s="36" t="s">
        <v>45</v>
      </c>
      <c r="D37" s="36"/>
      <c r="E37" s="6">
        <v>0</v>
      </c>
      <c r="F37" s="5"/>
      <c r="G37" s="36"/>
      <c r="H37" s="36"/>
      <c r="I37" s="9"/>
    </row>
    <row r="38" spans="2:9" x14ac:dyDescent="0.3">
      <c r="B38" s="4" t="s">
        <v>46</v>
      </c>
      <c r="C38" s="36"/>
      <c r="D38" s="36"/>
      <c r="E38" s="6"/>
      <c r="F38" s="5"/>
      <c r="G38" s="36"/>
      <c r="H38" s="36"/>
      <c r="I38" s="9"/>
    </row>
    <row r="39" spans="2:9" x14ac:dyDescent="0.3">
      <c r="B39" s="37" t="s">
        <v>49</v>
      </c>
      <c r="C39" s="37"/>
      <c r="D39" s="37"/>
      <c r="E39" s="10">
        <f>SUM(E5:E38)</f>
        <v>31713048</v>
      </c>
      <c r="F39" s="38" t="s">
        <v>50</v>
      </c>
      <c r="G39" s="38"/>
      <c r="H39" s="38"/>
      <c r="I39" s="11">
        <f>SUM(I5:I38)</f>
        <v>600000000</v>
      </c>
    </row>
    <row r="40" spans="2:9" x14ac:dyDescent="0.3">
      <c r="B40" s="39" t="s">
        <v>51</v>
      </c>
      <c r="C40" s="39"/>
      <c r="D40" s="39"/>
      <c r="E40" s="39"/>
      <c r="F40" s="39"/>
      <c r="G40" s="39"/>
      <c r="H40" s="39"/>
      <c r="I40" s="39"/>
    </row>
    <row r="41" spans="2:9" x14ac:dyDescent="0.3">
      <c r="B41" s="40">
        <f>E39-I39</f>
        <v>-568286952</v>
      </c>
      <c r="C41" s="40"/>
      <c r="D41" s="40"/>
      <c r="E41" s="40"/>
      <c r="F41" s="40"/>
      <c r="G41" s="40"/>
      <c r="H41" s="40"/>
      <c r="I41" s="40"/>
    </row>
    <row r="44" spans="2:9" ht="20.25" x14ac:dyDescent="0.3">
      <c r="B44" s="1" t="s">
        <v>52</v>
      </c>
    </row>
    <row r="45" spans="2:9" x14ac:dyDescent="0.3">
      <c r="B45" t="s">
        <v>53</v>
      </c>
    </row>
    <row r="46" spans="2:9" x14ac:dyDescent="0.3">
      <c r="B46" s="12" t="s">
        <v>54</v>
      </c>
      <c r="C46" s="35" t="s">
        <v>55</v>
      </c>
      <c r="D46" s="35"/>
      <c r="E46" s="13" t="s">
        <v>56</v>
      </c>
      <c r="F46" s="13" t="s">
        <v>57</v>
      </c>
      <c r="G46" s="13" t="s">
        <v>58</v>
      </c>
      <c r="H46" s="13" t="s">
        <v>59</v>
      </c>
    </row>
    <row r="47" spans="2:9" x14ac:dyDescent="0.3">
      <c r="B47" s="14" t="s">
        <v>60</v>
      </c>
      <c r="C47" s="32" t="s">
        <v>41</v>
      </c>
      <c r="D47" s="32"/>
      <c r="E47" s="16" t="s">
        <v>61</v>
      </c>
      <c r="F47" s="17">
        <v>50000000</v>
      </c>
      <c r="G47" s="18">
        <v>43370</v>
      </c>
      <c r="H47" s="18">
        <v>48849</v>
      </c>
    </row>
    <row r="48" spans="2:9" x14ac:dyDescent="0.3">
      <c r="B48" s="14" t="s">
        <v>62</v>
      </c>
      <c r="C48" s="32" t="s">
        <v>42</v>
      </c>
      <c r="D48" s="32"/>
      <c r="E48" s="16" t="s">
        <v>61</v>
      </c>
      <c r="F48" s="17">
        <v>0</v>
      </c>
      <c r="G48" s="18">
        <v>45294</v>
      </c>
      <c r="H48" s="18">
        <v>47121</v>
      </c>
    </row>
    <row r="49" spans="2:10" x14ac:dyDescent="0.3">
      <c r="B49" s="14" t="s">
        <v>60</v>
      </c>
      <c r="C49" s="32" t="s">
        <v>43</v>
      </c>
      <c r="D49" s="32"/>
      <c r="E49" s="16" t="s">
        <v>61</v>
      </c>
      <c r="F49" s="17">
        <v>60000000</v>
      </c>
      <c r="G49" s="18">
        <v>43399</v>
      </c>
      <c r="H49" s="18">
        <v>401119</v>
      </c>
    </row>
    <row r="50" spans="2:10" x14ac:dyDescent="0.3">
      <c r="B50" s="14" t="s">
        <v>60</v>
      </c>
      <c r="C50" s="32" t="s">
        <v>44</v>
      </c>
      <c r="D50" s="32"/>
      <c r="E50" s="16" t="s">
        <v>61</v>
      </c>
      <c r="F50" s="17">
        <v>10000000</v>
      </c>
      <c r="G50" s="18">
        <v>43077</v>
      </c>
      <c r="H50" s="18">
        <v>50382</v>
      </c>
    </row>
    <row r="51" spans="2:10" x14ac:dyDescent="0.3">
      <c r="B51" s="14" t="s">
        <v>62</v>
      </c>
      <c r="C51" s="32" t="s">
        <v>45</v>
      </c>
      <c r="D51" s="32"/>
      <c r="E51" s="16" t="s">
        <v>61</v>
      </c>
      <c r="F51" s="17">
        <v>776330</v>
      </c>
      <c r="G51" s="18">
        <v>46211</v>
      </c>
      <c r="H51" s="18">
        <v>46576</v>
      </c>
    </row>
    <row r="52" spans="2:10" x14ac:dyDescent="0.3">
      <c r="B52" s="34" t="s">
        <v>1</v>
      </c>
      <c r="C52" s="29" t="s">
        <v>63</v>
      </c>
      <c r="D52" s="29"/>
      <c r="E52" s="19" t="s">
        <v>64</v>
      </c>
      <c r="F52" s="19" t="s">
        <v>65</v>
      </c>
      <c r="G52" s="19"/>
      <c r="H52" s="20"/>
    </row>
    <row r="53" spans="2:10" x14ac:dyDescent="0.3">
      <c r="B53" s="34"/>
      <c r="C53" s="30" t="s">
        <v>66</v>
      </c>
      <c r="D53" s="30"/>
      <c r="E53" s="21" t="s">
        <v>67</v>
      </c>
      <c r="F53" s="22">
        <f>SUM(F47:F51)</f>
        <v>120776330</v>
      </c>
      <c r="G53" s="21"/>
      <c r="H53" s="23"/>
    </row>
    <row r="55" spans="2:10" ht="20.25" x14ac:dyDescent="0.3">
      <c r="B55" s="1" t="s">
        <v>68</v>
      </c>
    </row>
    <row r="56" spans="2:10" x14ac:dyDescent="0.3">
      <c r="B56" t="s">
        <v>69</v>
      </c>
    </row>
    <row r="57" spans="2:10" x14ac:dyDescent="0.3">
      <c r="B57" s="12" t="s">
        <v>70</v>
      </c>
      <c r="C57" s="13" t="s">
        <v>54</v>
      </c>
      <c r="D57" s="35" t="s">
        <v>6</v>
      </c>
      <c r="E57" s="35"/>
      <c r="F57" s="13" t="s">
        <v>71</v>
      </c>
      <c r="G57" s="13" t="s">
        <v>72</v>
      </c>
      <c r="H57" s="13" t="s">
        <v>73</v>
      </c>
      <c r="I57" s="13" t="s">
        <v>74</v>
      </c>
      <c r="J57" s="13" t="s">
        <v>59</v>
      </c>
    </row>
    <row r="58" spans="2:10" x14ac:dyDescent="0.3">
      <c r="B58" s="14" t="s">
        <v>75</v>
      </c>
      <c r="C58" s="15" t="s">
        <v>76</v>
      </c>
      <c r="D58" s="32" t="s">
        <v>29</v>
      </c>
      <c r="E58" s="32"/>
      <c r="F58" s="17">
        <v>1277189</v>
      </c>
      <c r="G58" s="17">
        <v>1919980</v>
      </c>
      <c r="H58" s="24">
        <v>50.328573139918987</v>
      </c>
      <c r="I58" s="18"/>
      <c r="J58" s="18"/>
    </row>
    <row r="59" spans="2:10" x14ac:dyDescent="0.3">
      <c r="B59" s="14" t="s">
        <v>75</v>
      </c>
      <c r="C59" s="15" t="s">
        <v>76</v>
      </c>
      <c r="D59" s="32" t="s">
        <v>30</v>
      </c>
      <c r="E59" s="32"/>
      <c r="F59" s="17">
        <v>1737959</v>
      </c>
      <c r="G59" s="17">
        <v>1726080</v>
      </c>
      <c r="H59" s="24">
        <v>-0.68350289045944124</v>
      </c>
      <c r="I59" s="18"/>
      <c r="J59" s="18"/>
    </row>
    <row r="60" spans="2:10" x14ac:dyDescent="0.3">
      <c r="B60" s="28" t="s">
        <v>1</v>
      </c>
      <c r="C60" s="19"/>
      <c r="D60" s="29" t="s">
        <v>77</v>
      </c>
      <c r="E60" s="29"/>
      <c r="F60" s="19" t="s">
        <v>78</v>
      </c>
      <c r="G60" s="19" t="s">
        <v>79</v>
      </c>
      <c r="H60" s="19" t="s">
        <v>80</v>
      </c>
      <c r="I60" s="19"/>
      <c r="J60" s="20"/>
    </row>
    <row r="61" spans="2:10" x14ac:dyDescent="0.3">
      <c r="B61" s="28"/>
      <c r="C61" s="21"/>
      <c r="D61" s="30" t="s">
        <v>81</v>
      </c>
      <c r="E61" s="30"/>
      <c r="F61" s="22">
        <f>SUM(F58:F59)</f>
        <v>3015148</v>
      </c>
      <c r="G61" s="22">
        <f>SUM(G58:G59)</f>
        <v>3646060</v>
      </c>
      <c r="H61" s="25">
        <f>(SUM(G58:G59) - SUM(F58:F59)) * 100 / IF(SUM(F58:F59), SUM(F58:F59), 1)</f>
        <v>20.924743992666365</v>
      </c>
      <c r="I61" s="21"/>
      <c r="J61" s="23"/>
    </row>
    <row r="63" spans="2:10" ht="20.25" x14ac:dyDescent="0.3">
      <c r="B63" s="1" t="s">
        <v>82</v>
      </c>
    </row>
    <row r="64" spans="2:10" x14ac:dyDescent="0.3">
      <c r="B64" t="s">
        <v>83</v>
      </c>
    </row>
    <row r="65" spans="2:10" x14ac:dyDescent="0.3">
      <c r="B65" s="26" t="s">
        <v>84</v>
      </c>
      <c r="C65" s="27" t="s">
        <v>54</v>
      </c>
      <c r="D65" s="31" t="s">
        <v>6</v>
      </c>
      <c r="E65" s="31"/>
      <c r="F65" s="27" t="s">
        <v>85</v>
      </c>
      <c r="G65" s="27" t="s">
        <v>86</v>
      </c>
      <c r="H65" s="27" t="s">
        <v>87</v>
      </c>
      <c r="I65" s="27" t="s">
        <v>88</v>
      </c>
      <c r="J65" s="27" t="s">
        <v>89</v>
      </c>
    </row>
    <row r="66" spans="2:10" x14ac:dyDescent="0.3">
      <c r="B66" s="14" t="s">
        <v>90</v>
      </c>
      <c r="C66" s="15" t="s">
        <v>91</v>
      </c>
      <c r="D66" s="32" t="s">
        <v>48</v>
      </c>
      <c r="E66" s="32"/>
      <c r="F66" s="17">
        <v>600000000</v>
      </c>
      <c r="G66" s="17">
        <v>600000000</v>
      </c>
      <c r="H66" s="15">
        <v>4.08</v>
      </c>
      <c r="I66" s="18">
        <v>46192</v>
      </c>
      <c r="J66" s="18">
        <v>57123</v>
      </c>
    </row>
    <row r="67" spans="2:10" x14ac:dyDescent="0.3">
      <c r="B67" s="28" t="s">
        <v>1</v>
      </c>
      <c r="C67" s="19"/>
      <c r="D67" s="29" t="s">
        <v>92</v>
      </c>
      <c r="E67" s="29"/>
      <c r="F67" s="19" t="s">
        <v>93</v>
      </c>
      <c r="G67" s="19" t="s">
        <v>94</v>
      </c>
      <c r="H67" s="19"/>
      <c r="I67" s="19"/>
      <c r="J67" s="20"/>
    </row>
    <row r="68" spans="2:10" x14ac:dyDescent="0.3">
      <c r="B68" s="28"/>
      <c r="C68" s="21"/>
      <c r="D68" s="33">
        <f>SUM(1)</f>
        <v>1</v>
      </c>
      <c r="E68" s="33"/>
      <c r="F68" s="22">
        <f>SUM(F66)</f>
        <v>600000000</v>
      </c>
      <c r="G68" s="22">
        <f>SUM(G66)</f>
        <v>600000000</v>
      </c>
      <c r="H68" s="21"/>
      <c r="I68" s="21"/>
      <c r="J68" s="23"/>
    </row>
  </sheetData>
  <mergeCells count="100">
    <mergeCell ref="B3:E3"/>
    <mergeCell ref="F3:I3"/>
    <mergeCell ref="C4:D4"/>
    <mergeCell ref="G4:H4"/>
    <mergeCell ref="B5:B1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G14:H14"/>
    <mergeCell ref="C15:D15"/>
    <mergeCell ref="C16:D16"/>
    <mergeCell ref="C17:D17"/>
    <mergeCell ref="B18:B21"/>
    <mergeCell ref="C18:D18"/>
    <mergeCell ref="C19:D19"/>
    <mergeCell ref="C20:D20"/>
    <mergeCell ref="C21:D21"/>
    <mergeCell ref="B22:B29"/>
    <mergeCell ref="C22:D22"/>
    <mergeCell ref="C23:D23"/>
    <mergeCell ref="C24:D24"/>
    <mergeCell ref="C25:D25"/>
    <mergeCell ref="C26:D26"/>
    <mergeCell ref="C27:D27"/>
    <mergeCell ref="C28:D28"/>
    <mergeCell ref="C29:D29"/>
    <mergeCell ref="G23:H23"/>
    <mergeCell ref="G24:H24"/>
    <mergeCell ref="G25:H25"/>
    <mergeCell ref="G26:H26"/>
    <mergeCell ref="G27:H27"/>
    <mergeCell ref="C30:D30"/>
    <mergeCell ref="C31:D31"/>
    <mergeCell ref="C32:D32"/>
    <mergeCell ref="B33:B37"/>
    <mergeCell ref="C33:D33"/>
    <mergeCell ref="C34:D34"/>
    <mergeCell ref="C35:D35"/>
    <mergeCell ref="C36:D36"/>
    <mergeCell ref="C37:D3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15:H15"/>
    <mergeCell ref="G16:H16"/>
    <mergeCell ref="G17:H17"/>
    <mergeCell ref="G18:H18"/>
    <mergeCell ref="G19:H19"/>
    <mergeCell ref="G20:H20"/>
    <mergeCell ref="G21:H21"/>
    <mergeCell ref="G22:H22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38:H38"/>
    <mergeCell ref="B39:D39"/>
    <mergeCell ref="F39:H39"/>
    <mergeCell ref="B40:I40"/>
    <mergeCell ref="B41:I41"/>
    <mergeCell ref="C46:D46"/>
    <mergeCell ref="C47:D47"/>
    <mergeCell ref="C48:D48"/>
    <mergeCell ref="C38:D38"/>
    <mergeCell ref="B60:B61"/>
    <mergeCell ref="D60:E60"/>
    <mergeCell ref="D61:E61"/>
    <mergeCell ref="D65:E65"/>
    <mergeCell ref="D66:E66"/>
    <mergeCell ref="B67:B68"/>
    <mergeCell ref="D67:E67"/>
    <mergeCell ref="D68:E68"/>
    <mergeCell ref="C49:D49"/>
    <mergeCell ref="C50:D50"/>
    <mergeCell ref="C51:D51"/>
    <mergeCell ref="B52:B53"/>
    <mergeCell ref="C52:D52"/>
    <mergeCell ref="C53:D53"/>
    <mergeCell ref="D57:E57"/>
    <mergeCell ref="D58:E58"/>
    <mergeCell ref="D59:E59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뱅샐현황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choi</cp:lastModifiedBy>
  <dcterms:created xsi:type="dcterms:W3CDTF">2026-07-13T09:48:18Z</dcterms:created>
  <dcterms:modified xsi:type="dcterms:W3CDTF">2026-07-20T13:58:15Z</dcterms:modified>
</cp:coreProperties>
</file>