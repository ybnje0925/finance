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블로그\용쨔푸리의 블로그세상\우리집-통합-재정-대시보드\"/>
    </mc:Choice>
  </mc:AlternateContent>
  <bookViews>
    <workbookView xWindow="240" yWindow="15" windowWidth="16095" windowHeight="9660" activeTab="1"/>
  </bookViews>
  <sheets>
    <sheet name="뱅샐현황(재은)" sheetId="3" r:id="rId1"/>
    <sheet name="뱅샐현황(영범)" sheetId="1" r:id="rId2"/>
    <sheet name="가계부 내역(영범)" sheetId="2" r:id="rId3"/>
    <sheet name="가계부 내역(재은)" sheetId="4" r:id="rId4"/>
  </sheets>
  <calcPr calcId="162913"/>
</workbook>
</file>

<file path=xl/calcChain.xml><?xml version="1.0" encoding="utf-8"?>
<calcChain xmlns="http://schemas.openxmlformats.org/spreadsheetml/2006/main">
  <c r="G130" i="3" l="1"/>
  <c r="F130" i="3"/>
  <c r="D130" i="3"/>
  <c r="H122" i="3"/>
  <c r="G122" i="3"/>
  <c r="F122" i="3"/>
  <c r="F108" i="3"/>
  <c r="B97" i="3"/>
  <c r="I95" i="3"/>
  <c r="E95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C38" i="3" s="1"/>
  <c r="D38" i="3" s="1"/>
  <c r="D37" i="3"/>
  <c r="C37" i="3"/>
  <c r="C36" i="3"/>
  <c r="D36" i="3" s="1"/>
  <c r="C35" i="3"/>
  <c r="D35" i="3" s="1"/>
  <c r="D34" i="3"/>
  <c r="C34" i="3"/>
  <c r="C33" i="3"/>
  <c r="D33" i="3" s="1"/>
  <c r="C32" i="3"/>
  <c r="D32" i="3" s="1"/>
  <c r="D31" i="3"/>
  <c r="C31" i="3"/>
  <c r="C30" i="3"/>
  <c r="D30" i="3" s="1"/>
  <c r="C29" i="3"/>
  <c r="D29" i="3" s="1"/>
  <c r="D28" i="3"/>
  <c r="C28" i="3"/>
  <c r="C27" i="3"/>
  <c r="D27" i="3" s="1"/>
  <c r="C26" i="3"/>
  <c r="D26" i="3" s="1"/>
  <c r="D25" i="3"/>
  <c r="C25" i="3"/>
  <c r="C24" i="3"/>
  <c r="D24" i="3" s="1"/>
  <c r="C23" i="3"/>
  <c r="D23" i="3" s="1"/>
  <c r="D22" i="3"/>
  <c r="C22" i="3"/>
  <c r="C21" i="3"/>
  <c r="D21" i="3" s="1"/>
  <c r="C20" i="3"/>
  <c r="D20" i="3" s="1"/>
  <c r="Q19" i="3"/>
  <c r="Q39" i="3" s="1"/>
  <c r="P19" i="3"/>
  <c r="P39" i="3" s="1"/>
  <c r="O19" i="3"/>
  <c r="O39" i="3" s="1"/>
  <c r="N19" i="3"/>
  <c r="N39" i="3" s="1"/>
  <c r="M19" i="3"/>
  <c r="M39" i="3" s="1"/>
  <c r="L19" i="3"/>
  <c r="L39" i="3" s="1"/>
  <c r="K19" i="3"/>
  <c r="K39" i="3" s="1"/>
  <c r="J19" i="3"/>
  <c r="J39" i="3" s="1"/>
  <c r="I19" i="3"/>
  <c r="I39" i="3" s="1"/>
  <c r="H19" i="3"/>
  <c r="H39" i="3" s="1"/>
  <c r="G19" i="3"/>
  <c r="G39" i="3" s="1"/>
  <c r="F19" i="3"/>
  <c r="F39" i="3" s="1"/>
  <c r="E19" i="3"/>
  <c r="E39" i="3" s="1"/>
  <c r="D18" i="3"/>
  <c r="C18" i="3"/>
  <c r="C17" i="3"/>
  <c r="D17" i="3" s="1"/>
  <c r="C16" i="3"/>
  <c r="D16" i="3" s="1"/>
  <c r="D15" i="3"/>
  <c r="C15" i="3"/>
  <c r="C14" i="3"/>
  <c r="D14" i="3" s="1"/>
  <c r="C13" i="3"/>
  <c r="D13" i="3" s="1"/>
  <c r="D12" i="3"/>
  <c r="C12" i="3"/>
  <c r="C39" i="3" l="1"/>
  <c r="D39" i="3" s="1"/>
  <c r="C19" i="3"/>
  <c r="D19" i="3" s="1"/>
  <c r="G106" i="1"/>
  <c r="F106" i="1"/>
  <c r="D106" i="1"/>
  <c r="H99" i="1"/>
  <c r="G99" i="1"/>
  <c r="F99" i="1"/>
  <c r="F91" i="1"/>
  <c r="I77" i="1"/>
  <c r="E77" i="1"/>
  <c r="B79" i="1" s="1"/>
  <c r="Q36" i="1"/>
  <c r="P36" i="1"/>
  <c r="L36" i="1"/>
  <c r="K36" i="1"/>
  <c r="J36" i="1"/>
  <c r="F36" i="1"/>
  <c r="E36" i="1"/>
  <c r="Q35" i="1"/>
  <c r="P35" i="1"/>
  <c r="O35" i="1"/>
  <c r="N35" i="1"/>
  <c r="M35" i="1"/>
  <c r="L35" i="1"/>
  <c r="K35" i="1"/>
  <c r="J35" i="1"/>
  <c r="I35" i="1"/>
  <c r="H35" i="1"/>
  <c r="G35" i="1"/>
  <c r="C35" i="1" s="1"/>
  <c r="D35" i="1" s="1"/>
  <c r="F35" i="1"/>
  <c r="E35" i="1"/>
  <c r="C34" i="1"/>
  <c r="D34" i="1" s="1"/>
  <c r="D33" i="1"/>
  <c r="C33" i="1"/>
  <c r="C32" i="1"/>
  <c r="D32" i="1" s="1"/>
  <c r="C31" i="1"/>
  <c r="D31" i="1" s="1"/>
  <c r="D30" i="1"/>
  <c r="C30" i="1"/>
  <c r="C29" i="1"/>
  <c r="D29" i="1" s="1"/>
  <c r="C28" i="1"/>
  <c r="D28" i="1" s="1"/>
  <c r="D27" i="1"/>
  <c r="C27" i="1"/>
  <c r="C26" i="1"/>
  <c r="D26" i="1" s="1"/>
  <c r="C25" i="1"/>
  <c r="D25" i="1" s="1"/>
  <c r="D24" i="1"/>
  <c r="C24" i="1"/>
  <c r="C23" i="1"/>
  <c r="D23" i="1" s="1"/>
  <c r="C22" i="1"/>
  <c r="D22" i="1" s="1"/>
  <c r="D21" i="1"/>
  <c r="C21" i="1"/>
  <c r="C20" i="1"/>
  <c r="D20" i="1" s="1"/>
  <c r="C19" i="1"/>
  <c r="D19" i="1" s="1"/>
  <c r="D18" i="1"/>
  <c r="C18" i="1"/>
  <c r="Q17" i="1"/>
  <c r="P17" i="1"/>
  <c r="O17" i="1"/>
  <c r="O36" i="1" s="1"/>
  <c r="N17" i="1"/>
  <c r="N36" i="1" s="1"/>
  <c r="M17" i="1"/>
  <c r="M36" i="1" s="1"/>
  <c r="L17" i="1"/>
  <c r="K17" i="1"/>
  <c r="J17" i="1"/>
  <c r="I17" i="1"/>
  <c r="I36" i="1" s="1"/>
  <c r="H17" i="1"/>
  <c r="C17" i="1" s="1"/>
  <c r="D17" i="1" s="1"/>
  <c r="G17" i="1"/>
  <c r="G36" i="1" s="1"/>
  <c r="F17" i="1"/>
  <c r="E17" i="1"/>
  <c r="D16" i="1"/>
  <c r="C16" i="1"/>
  <c r="C15" i="1"/>
  <c r="D15" i="1" s="1"/>
  <c r="C14" i="1"/>
  <c r="D14" i="1" s="1"/>
  <c r="D13" i="1"/>
  <c r="C13" i="1"/>
  <c r="C12" i="1"/>
  <c r="D12" i="1" s="1"/>
  <c r="H36" i="1" l="1"/>
  <c r="C36" i="1" s="1"/>
  <c r="D36" i="1" s="1"/>
</calcChain>
</file>

<file path=xl/sharedStrings.xml><?xml version="1.0" encoding="utf-8"?>
<sst xmlns="http://schemas.openxmlformats.org/spreadsheetml/2006/main" count="4294" uniqueCount="642">
  <si>
    <t>1.고객정보</t>
  </si>
  <si>
    <t>사용자의 기본 정보에 해당하는 항목입니다.</t>
  </si>
  <si>
    <t>이름</t>
  </si>
  <si>
    <t>성별</t>
  </si>
  <si>
    <t>연령
(만 나이)</t>
  </si>
  <si>
    <t>신용점수
(KCB)</t>
  </si>
  <si>
    <t>이메일</t>
  </si>
  <si>
    <t>최영범</t>
  </si>
  <si>
    <t>남</t>
  </si>
  <si>
    <t>-</t>
  </si>
  <si>
    <t>2.현금흐름현황</t>
  </si>
  <si>
    <t>최근 1년 동안의 현금흐름을 분석합니다.</t>
  </si>
  <si>
    <t>항목</t>
  </si>
  <si>
    <t>총계</t>
  </si>
  <si>
    <t>월평균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</si>
  <si>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</si>
  <si>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</si>
  <si>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</si>
  <si>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</si>
  <si>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</si>
  <si>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</si>
  <si>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</si>
  <si>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</si>
  <si>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</si>
  <si>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</si>
  <si>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</si>
  <si>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</si>
  <si>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</si>
  <si>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금융수입</t>
  </si>
  <si>
    <t>급여</t>
  </si>
  <si>
    <t>기타수입</t>
  </si>
  <si>
    <t>사업수입</t>
  </si>
  <si>
    <t>용돈</t>
  </si>
  <si>
    <t>월수입 총계</t>
  </si>
  <si>
    <t>경조/선물</t>
  </si>
  <si>
    <t>교육/학습</t>
  </si>
  <si>
    <t>교통</t>
  </si>
  <si>
    <t>금융</t>
  </si>
  <si>
    <t>문화/여가</t>
  </si>
  <si>
    <t>뷰티/미용</t>
  </si>
  <si>
    <t>생활</t>
  </si>
  <si>
    <t>술/유흥</t>
  </si>
  <si>
    <t>식비</t>
  </si>
  <si>
    <t>여행/숙박</t>
  </si>
  <si>
    <t>온라인쇼핑</t>
  </si>
  <si>
    <t>의료/건강</t>
  </si>
  <si>
    <t>자녀/육아</t>
  </si>
  <si>
    <t>자동차</t>
  </si>
  <si>
    <t>주거/통신</t>
  </si>
  <si>
    <t>카페/간식</t>
  </si>
  <si>
    <t>패션/쇼핑</t>
  </si>
  <si>
    <t>월지출 총계</t>
  </si>
  <si>
    <t>순수입 총계</t>
  </si>
  <si>
    <t>3.재무현황</t>
  </si>
  <si>
    <t>데이터를 내보낸 시점의 자산과 부채 상태를 분석합니다.</t>
  </si>
  <si>
    <t>자산</t>
  </si>
  <si>
    <t>부채</t>
  </si>
  <si>
    <t>상품명</t>
  </si>
  <si>
    <t>금액</t>
  </si>
  <si>
    <t>자유입출금 자산</t>
  </si>
  <si>
    <t>KB Star*t통장-저축예금</t>
  </si>
  <si>
    <t>KB Wise통장-저축예금</t>
  </si>
  <si>
    <t>KB국민ONE통장-저축예금</t>
  </si>
  <si>
    <t>MY 입출금통장</t>
  </si>
  <si>
    <t>NH주거래우대통장</t>
  </si>
  <si>
    <t>U드림 저축예금 (인터넷전용)</t>
  </si>
  <si>
    <t>WON 통장</t>
  </si>
  <si>
    <t>입출금통장</t>
  </si>
  <si>
    <t>저금통</t>
  </si>
  <si>
    <t>신탁 자산</t>
  </si>
  <si>
    <t>현금 자산</t>
  </si>
  <si>
    <t>현금</t>
  </si>
  <si>
    <t>저축성 자산</t>
  </si>
  <si>
    <t>NH올원e적금</t>
  </si>
  <si>
    <t>전자금융 자산</t>
  </si>
  <si>
    <t>네이버페이 머니 - ybnj****</t>
  </si>
  <si>
    <t>네이버페이 머니 - tom1****</t>
  </si>
  <si>
    <t>카카오페이 머니 - 010*****427</t>
  </si>
  <si>
    <t>토스머니</t>
  </si>
  <si>
    <t>투자성 자산</t>
  </si>
  <si>
    <t>TIGER 미국S&amp;P500</t>
  </si>
  <si>
    <t>KODEX 차이나테크TOP10</t>
  </si>
  <si>
    <t>100세연금저축펀드</t>
  </si>
  <si>
    <t>CMA계좌</t>
  </si>
  <si>
    <t>기본계좌</t>
  </si>
  <si>
    <t>종합매매</t>
  </si>
  <si>
    <t>종합위탁</t>
  </si>
  <si>
    <t>중개형ISA</t>
  </si>
  <si>
    <t>부동산</t>
  </si>
  <si>
    <t>동산</t>
  </si>
  <si>
    <t>기타 실물 자산</t>
  </si>
  <si>
    <t>보험 자산</t>
  </si>
  <si>
    <t>올인원암_1종처음끝(순수,무)</t>
  </si>
  <si>
    <t>무배당 삼성화재 다이렉트 실손의료비보험(2304.3)</t>
  </si>
  <si>
    <t>삼성생명 실속든든종신보험 (무배당)</t>
  </si>
  <si>
    <t>삼성생명 New퍼펙트상해보험(재가입형,무배당)</t>
  </si>
  <si>
    <t>애니카다이렉트_개인용</t>
  </si>
  <si>
    <t>연금 자산</t>
  </si>
  <si>
    <t>장기대출</t>
  </si>
  <si>
    <t>(주택자금)NH주택담보대출</t>
  </si>
  <si>
    <t>총자산</t>
  </si>
  <si>
    <t>총부채</t>
  </si>
  <si>
    <t>순자산</t>
  </si>
  <si>
    <t>4.보험현황</t>
  </si>
  <si>
    <t>사용자가 보유한 보험상품 현황을 분석합니다.</t>
  </si>
  <si>
    <t>금융사</t>
  </si>
  <si>
    <t>보험명</t>
  </si>
  <si>
    <t>계약상태</t>
  </si>
  <si>
    <t>총납입금</t>
  </si>
  <si>
    <t>계약일자</t>
  </si>
  <si>
    <t>만기일자</t>
  </si>
  <si>
    <t>삼성생명</t>
  </si>
  <si>
    <t>정상</t>
  </si>
  <si>
    <t>삼성화재</t>
  </si>
  <si>
    <t>보유계약건수</t>
  </si>
  <si>
    <t>정상 5건</t>
  </si>
  <si>
    <t>총 납입금</t>
  </si>
  <si>
    <t>총 5건</t>
  </si>
  <si>
    <t>만기/휴면 0건</t>
  </si>
  <si>
    <t>5.투자현황</t>
  </si>
  <si>
    <t>사용자가 보유한 투자상품 현황을 분석합니다.</t>
  </si>
  <si>
    <t>투자상품종류</t>
  </si>
  <si>
    <t>투자원금</t>
  </si>
  <si>
    <t>평가금액</t>
  </si>
  <si>
    <t>수익률</t>
  </si>
  <si>
    <t>가입일자</t>
  </si>
  <si>
    <t>주식</t>
  </si>
  <si>
    <t>NH투자증권</t>
  </si>
  <si>
    <t>보유상품개수</t>
  </si>
  <si>
    <t>총 투자 원금</t>
  </si>
  <si>
    <t>총 평가 금액</t>
  </si>
  <si>
    <t>총 수익률</t>
  </si>
  <si>
    <t>총 2개</t>
  </si>
  <si>
    <t>6.대출현황</t>
  </si>
  <si>
    <t>사용자가 보유한 대출상품 현황을 분석합니다.</t>
  </si>
  <si>
    <t>대출종류</t>
  </si>
  <si>
    <t>대출원금</t>
  </si>
  <si>
    <t>대출잔액</t>
  </si>
  <si>
    <t>대출금리</t>
  </si>
  <si>
    <t>대출신규일</t>
  </si>
  <si>
    <t>대출만기일</t>
  </si>
  <si>
    <t>은행 대출</t>
  </si>
  <si>
    <t>농협은행</t>
  </si>
  <si>
    <t>보유 대출 상품</t>
  </si>
  <si>
    <t>총 대출 원금</t>
  </si>
  <si>
    <t>총 대출 잔액</t>
  </si>
  <si>
    <t>날짜</t>
  </si>
  <si>
    <t>시간</t>
  </si>
  <si>
    <t>타입</t>
  </si>
  <si>
    <t>대분류</t>
  </si>
  <si>
    <t>내용</t>
  </si>
  <si>
    <t>결제수단</t>
  </si>
  <si>
    <t>지출</t>
  </si>
  <si>
    <t>한화손해보험(주)</t>
  </si>
  <si>
    <t>삼성카드 taptap O</t>
  </si>
  <si>
    <t>이체</t>
  </si>
  <si>
    <t>미분류</t>
  </si>
  <si>
    <t>정*오</t>
  </si>
  <si>
    <t>카카오페이 머니</t>
  </si>
  <si>
    <t>인터넷상거래</t>
  </si>
  <si>
    <t>모바일티머니_버스5건</t>
  </si>
  <si>
    <t>K-패스 우리카드(체크)</t>
  </si>
  <si>
    <t>모바일티머니_지하철12건</t>
  </si>
  <si>
    <t>내계좌이체</t>
  </si>
  <si>
    <t>최*범</t>
  </si>
  <si>
    <t>송금 내역</t>
  </si>
  <si>
    <t>카카오페이</t>
  </si>
  <si>
    <t>김*중</t>
  </si>
  <si>
    <t>주식회사아성다이소</t>
  </si>
  <si>
    <t>NH올원더풀카드</t>
  </si>
  <si>
    <t>노브랜드 스타필드시티위례점</t>
  </si>
  <si>
    <t>트레이더스 위례점</t>
  </si>
  <si>
    <t>트레이더스홀세일클럽스타필드시티위례점</t>
  </si>
  <si>
    <t>트레이더스 연회비</t>
  </si>
  <si>
    <t>KB ALL 카드(舊 (신)KB국민 WE:SH All 카드)</t>
  </si>
  <si>
    <t>CU(씨유)올림픽광장점</t>
  </si>
  <si>
    <t>수입</t>
  </si>
  <si>
    <t>(주)신세계사이먼</t>
  </si>
  <si>
    <t>우리체크캐시백</t>
  </si>
  <si>
    <t>LG전자 구독료</t>
  </si>
  <si>
    <t>스페셜 롯데카드(LG전자)</t>
  </si>
  <si>
    <t>키우키우</t>
  </si>
  <si>
    <t>네이버페이 간편결제</t>
  </si>
  <si>
    <t>(주)우아한형제들</t>
  </si>
  <si>
    <t>스티브</t>
  </si>
  <si>
    <t>LG유플러스통신요금</t>
  </si>
  <si>
    <t>네이버 현대카드</t>
  </si>
  <si>
    <t>모바일티머니_지하철13건</t>
  </si>
  <si>
    <t>모바일티머니_버스9건</t>
  </si>
  <si>
    <t>씨유(CU)논현SK점</t>
  </si>
  <si>
    <t>쿠팡(쿠페이)</t>
  </si>
  <si>
    <t>한화손보해약</t>
  </si>
  <si>
    <t>대한민국농수산</t>
  </si>
  <si>
    <t>이*수</t>
  </si>
  <si>
    <t>스마트로_대표비인증</t>
  </si>
  <si>
    <t>스마트로_비인증</t>
  </si>
  <si>
    <t>삼성전자판매(주)토탈케어</t>
  </si>
  <si>
    <t>조*래</t>
  </si>
  <si>
    <t>LABESTO 라베스토</t>
  </si>
  <si>
    <t>네이버페이 간편결제(포인트)</t>
  </si>
  <si>
    <t>메가MGC커피 선물하기</t>
  </si>
  <si>
    <t>현대그린마트</t>
  </si>
  <si>
    <t>맹소미(다옴)</t>
  </si>
  <si>
    <t>드림에너지</t>
  </si>
  <si>
    <t>메가엠지씨커피하남감일백제점</t>
  </si>
  <si>
    <t>한강사</t>
  </si>
  <si>
    <t>씨유(CU)청담퍼스트점</t>
  </si>
  <si>
    <t>케이플러스청담의원</t>
  </si>
  <si>
    <t>소희준</t>
  </si>
  <si>
    <t>세외수입_KICC</t>
  </si>
  <si>
    <t>한은미</t>
  </si>
  <si>
    <t>아이스크림스토리송파오금점</t>
  </si>
  <si>
    <t>최*진</t>
  </si>
  <si>
    <t>카드대금</t>
  </si>
  <si>
    <t>우리카드결제</t>
  </si>
  <si>
    <t>브라운물티슈-스킨케어</t>
  </si>
  <si>
    <t>삼성화재해상보험(주)-앱카드용</t>
  </si>
  <si>
    <t>저축</t>
  </si>
  <si>
    <t>카카오741</t>
  </si>
  <si>
    <t>엄마돈</t>
  </si>
  <si>
    <t>토스466</t>
  </si>
  <si>
    <t>이순기화장실잔금</t>
  </si>
  <si>
    <t>주식회사  유진주유소</t>
  </si>
  <si>
    <t>동전 모으기</t>
  </si>
  <si>
    <t>메가엠지씨커피 하남감일백제점</t>
  </si>
  <si>
    <t>모바일티머니_지하철3건</t>
  </si>
  <si>
    <t>모바일티머니_버스2건</t>
  </si>
  <si>
    <t>아이스  그린오렌지</t>
  </si>
  <si>
    <t>NH562123</t>
  </si>
  <si>
    <t>(주)호텔롯데롯데월드</t>
  </si>
  <si>
    <t>롯데물산(주)</t>
  </si>
  <si>
    <t>롯데물산(주)롯데월드몰점</t>
  </si>
  <si>
    <t>모바일티머니_지하철1건</t>
  </si>
  <si>
    <t>출금 내역</t>
  </si>
  <si>
    <t>입금 내역</t>
  </si>
  <si>
    <t>ALIPAY CONNECT PTE. LTD</t>
  </si>
  <si>
    <t>카카오페이 간편결제</t>
  </si>
  <si>
    <t>네이버0291</t>
  </si>
  <si>
    <t>한승규</t>
  </si>
  <si>
    <t>서울시설공단</t>
  </si>
  <si>
    <t>입출금통장 이자</t>
  </si>
  <si>
    <t>이자</t>
  </si>
  <si>
    <t>저금통 이자</t>
  </si>
  <si>
    <t>모바일티머니_버스1건</t>
  </si>
  <si>
    <t>모바일티머니_지하철4건</t>
  </si>
  <si>
    <t>한화손06022</t>
  </si>
  <si>
    <t>삼성06000</t>
  </si>
  <si>
    <t>삼성06002건</t>
  </si>
  <si>
    <t>코레일유통(울산)</t>
  </si>
  <si>
    <t>아동수당</t>
  </si>
  <si>
    <t>SR</t>
  </si>
  <si>
    <t>바로알림서비스</t>
  </si>
  <si>
    <t>하나로마트  방이역점</t>
  </si>
  <si>
    <t>공공요금</t>
  </si>
  <si>
    <t>삼성화06036</t>
  </si>
  <si>
    <t>삼성화06030</t>
  </si>
  <si>
    <t>현대카드</t>
  </si>
  <si>
    <t>아성다이소</t>
  </si>
  <si>
    <t>대출 3590211</t>
  </si>
  <si>
    <t>네이버페이</t>
  </si>
  <si>
    <t>삼성공식파트너 문성전자</t>
  </si>
  <si>
    <t>네이버파이낸셜</t>
  </si>
  <si>
    <t>부경에스이에스주식회사</t>
  </si>
  <si>
    <t>컴포즈커피구의사거리점</t>
  </si>
  <si>
    <t>식물원복합식당</t>
  </si>
  <si>
    <t>쿠팡(와우 멤버십)</t>
  </si>
  <si>
    <t>디지로카 Paris</t>
  </si>
  <si>
    <t>올스타푸드마켓</t>
  </si>
  <si>
    <t>김치냉장고</t>
  </si>
  <si>
    <t>유진주유소</t>
  </si>
  <si>
    <t>트레이더스위례점</t>
  </si>
  <si>
    <t>NICE_주차장</t>
  </si>
  <si>
    <t>리안헤어하남감일점</t>
  </si>
  <si>
    <t>예금결산이자</t>
  </si>
  <si>
    <t>모바일티머니_지하철2건</t>
  </si>
  <si>
    <t>통장 개설</t>
  </si>
  <si>
    <t>예적금신규</t>
  </si>
  <si>
    <t>강재은</t>
  </si>
  <si>
    <t>김재곤</t>
  </si>
  <si>
    <t>지방세입금1건</t>
  </si>
  <si>
    <t>지자체세입금(온라인)</t>
  </si>
  <si>
    <t>김재형</t>
  </si>
  <si>
    <t>김경남</t>
  </si>
  <si>
    <t>김경옥(보증금반환</t>
  </si>
  <si>
    <t>김경옥(전세보증금반</t>
  </si>
  <si>
    <t>김경옥(장기수선충당</t>
  </si>
  <si>
    <t>인지세고객분</t>
  </si>
  <si>
    <t>국민주택채권</t>
  </si>
  <si>
    <t>스타벅스코리아</t>
  </si>
  <si>
    <t>GS25고덕리엔</t>
  </si>
  <si>
    <t>덮밥장사장상일동역점</t>
  </si>
  <si>
    <t>감일한라비발디입주자</t>
  </si>
  <si>
    <t>투자</t>
  </si>
  <si>
    <t>전세대출환출보증료(7108)</t>
  </si>
  <si>
    <t>대출전액상환(7108)</t>
  </si>
  <si>
    <t>예금(7620)해지</t>
  </si>
  <si>
    <t>에스피씨지에프에스신세계사이먼여주구내식당</t>
  </si>
  <si>
    <t>양*용</t>
  </si>
  <si>
    <t>이케아코리아강동지점가구</t>
  </si>
  <si>
    <t>이케아코리아강동지점레스토랑</t>
  </si>
  <si>
    <t>조준오</t>
  </si>
  <si>
    <t>김홍기</t>
  </si>
  <si>
    <t>신세계사이먼시흥점</t>
  </si>
  <si>
    <t>KHAYDAROV</t>
  </si>
  <si>
    <t>정*엽</t>
  </si>
  <si>
    <t>상천에너지(주)하남풀페이주유소</t>
  </si>
  <si>
    <t>나이스결제대행(주)</t>
  </si>
  <si>
    <t>긴자료쿄 배곧신도시점</t>
  </si>
  <si>
    <t>코원에너지서비스(주)_자동이</t>
  </si>
  <si>
    <t>NICEPAY</t>
  </si>
  <si>
    <t>3820국민카드</t>
  </si>
  <si>
    <t>LGU+  통신</t>
  </si>
  <si>
    <t>한국교통안전공단 강남자동차검사소</t>
  </si>
  <si>
    <t>농협카드307</t>
  </si>
  <si>
    <t>모바일티머니_지하철5건</t>
  </si>
  <si>
    <t>신세계사이먼부산점</t>
  </si>
  <si>
    <t>후레쉬케터링신세계사이먼부산점</t>
  </si>
  <si>
    <t>조*남</t>
  </si>
  <si>
    <t>램프의지니</t>
  </si>
  <si>
    <t>프라움레스토랑</t>
  </si>
  <si>
    <t>롯데카드환불</t>
  </si>
  <si>
    <t>서울더편한치과의원</t>
  </si>
  <si>
    <t>신세계하남점백화점</t>
  </si>
  <si>
    <t>일렉트로마트 스타필드 하남점</t>
  </si>
  <si>
    <t>김*기</t>
  </si>
  <si>
    <t>롯데카드(주)</t>
  </si>
  <si>
    <t>삼성카드</t>
  </si>
  <si>
    <t>경기지역화폐</t>
  </si>
  <si>
    <t>종로광명약국</t>
  </si>
  <si>
    <t>다이소아성산업</t>
  </si>
  <si>
    <t>KCP_결제</t>
  </si>
  <si>
    <t>지에스더프레시개포블레스티지점</t>
  </si>
  <si>
    <t>신한국주유소</t>
  </si>
  <si>
    <t>삼성웰니스의원</t>
  </si>
  <si>
    <t>모바일티머니_기타</t>
  </si>
  <si>
    <t>GS25 제주신화월드점</t>
  </si>
  <si>
    <t>제주신화월드주식회사</t>
  </si>
  <si>
    <t>플레이팅 김해공항 국내선3f</t>
  </si>
  <si>
    <t>스타벅스_주문</t>
  </si>
  <si>
    <t>(주)에스피씨지에프에스 신세계사이먼 여주구내식당</t>
  </si>
  <si>
    <t>메가엠지씨커피 감일수자인점</t>
  </si>
  <si>
    <t>하이패스3109</t>
  </si>
  <si>
    <t>삼성화05035</t>
  </si>
  <si>
    <t>한화손05021</t>
  </si>
  <si>
    <t>삼성화05029</t>
  </si>
  <si>
    <t>삼성05000</t>
  </si>
  <si>
    <t>삼성05002건</t>
  </si>
  <si>
    <t>이영희</t>
  </si>
  <si>
    <t>(주)롯데월드 아쿠아리움</t>
  </si>
  <si>
    <t>이니시스</t>
  </si>
  <si>
    <t>이스타항공_ARS</t>
  </si>
  <si>
    <t>에어부산 주식회사</t>
  </si>
  <si>
    <t>주식회사 스타필드 하남</t>
  </si>
  <si>
    <t>신세계 하남점</t>
  </si>
  <si>
    <t>어썸(awesome)</t>
  </si>
  <si>
    <t>랠리랩(RALLY LAB)</t>
  </si>
  <si>
    <t>(유)아르힐포레첨단주유소</t>
  </si>
  <si>
    <t>(주)졸스</t>
  </si>
  <si>
    <t>조원관광진흥(주)</t>
  </si>
  <si>
    <t>주식회사 졸스</t>
  </si>
  <si>
    <t>조원관광진흥</t>
  </si>
  <si>
    <t>이마트24인재개발원점</t>
  </si>
  <si>
    <t>이마트푸드마켓고덕점</t>
  </si>
  <si>
    <t>봄날약국</t>
  </si>
  <si>
    <t>고덕성심소아청소년과의원</t>
  </si>
  <si>
    <t>모바일티머니_지하철8건</t>
  </si>
  <si>
    <t>대출상환(7108)</t>
  </si>
  <si>
    <t>메가엠지씨커피학동사거리점</t>
  </si>
  <si>
    <t>메가엠지씨커피 학동사거리점</t>
  </si>
  <si>
    <t>데일리라이크</t>
  </si>
  <si>
    <t>롯데ON</t>
  </si>
  <si>
    <t>서울특별시강동구도시관리공단 암사선사유적지</t>
  </si>
  <si>
    <t>주식회사 카카오모빌리티</t>
  </si>
  <si>
    <t>예금 신규</t>
  </si>
  <si>
    <t>해뜨는주유소</t>
  </si>
  <si>
    <t>옥션</t>
  </si>
  <si>
    <t>FRANKLiiN 프랭클린</t>
  </si>
  <si>
    <t>롯데카드2605</t>
  </si>
  <si>
    <t>LF몰</t>
  </si>
  <si>
    <t>타르틴 베이커리 청담점</t>
  </si>
  <si>
    <t>LF몰_NICEP</t>
  </si>
  <si>
    <t>최*영</t>
  </si>
  <si>
    <t>플로리아</t>
  </si>
  <si>
    <t>주식회사 카카오</t>
  </si>
  <si>
    <t>트립닷컴</t>
  </si>
  <si>
    <t>고덕스타약국</t>
  </si>
  <si>
    <t>지에스25 석촌희망점</t>
  </si>
  <si>
    <t>오로라</t>
  </si>
  <si>
    <t>맘스터치LAB 도산대로점</t>
  </si>
  <si>
    <t>우정사업본부(우체국)</t>
  </si>
  <si>
    <t>강재은 퇴직금</t>
  </si>
  <si>
    <t>온스헤어 상일동역점</t>
  </si>
  <si>
    <t>이마트 푸드마켓 고덕점</t>
  </si>
  <si>
    <t>이케아코리아 유한회사 강동지점 가구</t>
  </si>
  <si>
    <t>이케아코리아</t>
  </si>
  <si>
    <t>온누리충전</t>
  </si>
  <si>
    <t>세외수입_KPN</t>
  </si>
  <si>
    <t>사월에보리밥과쭈꾸미송파오금점</t>
  </si>
  <si>
    <t>뉴발란스 키즈 공식몰</t>
  </si>
  <si>
    <t>인터넷상거래_4</t>
  </si>
  <si>
    <t>베베숲</t>
  </si>
  <si>
    <t>서울정의원</t>
  </si>
  <si>
    <t>서울올림픽기념국민체육진흥공단</t>
  </si>
  <si>
    <t>노원기차마을</t>
  </si>
  <si>
    <t>익스프레스노원바이미라쥬</t>
  </si>
  <si>
    <t>감일튼튼약국</t>
  </si>
  <si>
    <t>오퍼스240 하남감일점</t>
  </si>
  <si>
    <t>스마일페이</t>
  </si>
  <si>
    <t>몬스터피크닉</t>
  </si>
  <si>
    <t>한국결제_세외수입(비인증</t>
  </si>
  <si>
    <t>이마트24 강일푸르내점</t>
  </si>
  <si>
    <t>우리생협 상일점</t>
  </si>
  <si>
    <t>우아한형제들</t>
  </si>
  <si>
    <t>주식회사 아성다이소</t>
  </si>
  <si>
    <t>토스쇼핑</t>
  </si>
  <si>
    <t>토스 간편결제</t>
  </si>
  <si>
    <t>티머니 개인택시_0</t>
  </si>
  <si>
    <t>주식회사 티머니</t>
  </si>
  <si>
    <t>송금 취소 내역</t>
  </si>
  <si>
    <t>쿠우쿠우 강동점</t>
  </si>
  <si>
    <t>김*진</t>
  </si>
  <si>
    <t>예금신규</t>
  </si>
  <si>
    <t>예금해지</t>
  </si>
  <si>
    <t>네이버파이낸셜(주)</t>
  </si>
  <si>
    <t>KIOSK</t>
  </si>
  <si>
    <t>한살림동서울소비자생활협동조합 강일매장</t>
  </si>
  <si>
    <t>카카오페이</t>
    <phoneticPr fontId="4" type="noConversion"/>
  </si>
  <si>
    <t>메모</t>
  </si>
  <si>
    <t>메모</t>
    <phoneticPr fontId="4" type="noConversion"/>
  </si>
  <si>
    <t>여</t>
  </si>
  <si>
    <t>상여금</t>
  </si>
  <si>
    <t>반려동물</t>
  </si>
  <si>
    <t>KB스타통장-저축예금</t>
  </si>
  <si>
    <t>회사대출</t>
  </si>
  <si>
    <t>우리은행 마이너스 통장</t>
  </si>
  <si>
    <t>Sh내가만든통장(스페셜플러스예금)</t>
  </si>
  <si>
    <t>세이프박스</t>
  </si>
  <si>
    <t>씨티원예금</t>
  </si>
  <si>
    <t>우리직장인재테크 저축예금(수수료우대형</t>
  </si>
  <si>
    <t>자립예탁금</t>
  </si>
  <si>
    <t>저축예금</t>
  </si>
  <si>
    <t>토스뱅크 통장</t>
  </si>
  <si>
    <t>하나멤버스 주거래통장</t>
  </si>
  <si>
    <t>네이버페이 머니 - bis0****</t>
  </si>
  <si>
    <t>카카오페이 머니 - 010*****187</t>
  </si>
  <si>
    <t>페이코포인트 - bi*****@naver.com</t>
  </si>
  <si>
    <t>미래에셋전략배분TDF솔루션혼합자산자투자신탁C-Pe</t>
  </si>
  <si>
    <t>한국신종개인용MMF3호_C-P</t>
  </si>
  <si>
    <t>한국전력</t>
  </si>
  <si>
    <t>퀀텀 컴퓨팅</t>
  </si>
  <si>
    <t>메타</t>
  </si>
  <si>
    <t>팔란티어</t>
  </si>
  <si>
    <t>금융상품</t>
  </si>
  <si>
    <t>밸런스 CMA</t>
  </si>
  <si>
    <t>연금저축</t>
  </si>
  <si>
    <t>위탁계좌</t>
  </si>
  <si>
    <t>종합</t>
  </si>
  <si>
    <t>종합투자상품</t>
  </si>
  <si>
    <t>보증금</t>
  </si>
  <si>
    <t>무배당 삼성 올라이프 보장보험(0710.5)</t>
  </si>
  <si>
    <t>무배당 삼성화재 통합보험 수퍼플러스(1202)라이프+</t>
  </si>
  <si>
    <t>무배당굿앤굿어린이종합보험Q(Hi2309)1종(표준형)기본플랜</t>
  </si>
  <si>
    <t>무배당실손의료비보장보험(갱신형)(Hi2307)기본플랜</t>
  </si>
  <si>
    <t>현대해상</t>
  </si>
  <si>
    <t>정상 4건</t>
  </si>
  <si>
    <t>총 4건</t>
  </si>
  <si>
    <t>펀드</t>
  </si>
  <si>
    <t>한국투자증권</t>
  </si>
  <si>
    <t>토스증권</t>
  </si>
  <si>
    <t>총 8개</t>
  </si>
  <si>
    <t>기타은행</t>
  </si>
  <si>
    <t>우리은행</t>
  </si>
  <si>
    <t>주식회사 호반호텔앤리조트</t>
  </si>
  <si>
    <t>모니모카드 BY SAMSUNG CARD</t>
  </si>
  <si>
    <t>ezl 버스 1건</t>
  </si>
  <si>
    <t>토스뱅크 체크카드</t>
  </si>
  <si>
    <t>ezl 지하철 2건</t>
  </si>
  <si>
    <t>예금이자원가</t>
  </si>
  <si>
    <t>씨유(CU) 리솜레스트리점</t>
  </si>
  <si>
    <t>디저트39 하남감일점</t>
  </si>
  <si>
    <t>NICE결제대행</t>
  </si>
  <si>
    <t>KB국민 톡톡 my point카드</t>
  </si>
  <si>
    <t>서울주택도시개발공사</t>
  </si>
  <si>
    <t>카카강재은</t>
  </si>
  <si>
    <t>스마트로_세외수입</t>
  </si>
  <si>
    <t>ezl 버스 2건 이용</t>
  </si>
  <si>
    <t>ezl 지하철 7건 이용</t>
  </si>
  <si>
    <t>현대/강재은</t>
  </si>
  <si>
    <t>ezl 버스 2건</t>
  </si>
  <si>
    <t>ezl 지하철 7건</t>
  </si>
  <si>
    <t>ezl 지하철 1건 이용</t>
  </si>
  <si>
    <t>ezl 버스 1건 이용</t>
  </si>
  <si>
    <t>ezl 지하철 2건 이용</t>
  </si>
  <si>
    <t>세외수입_문화비</t>
  </si>
  <si>
    <t>수영</t>
  </si>
  <si>
    <t>KICC(세외수입인터넷)</t>
  </si>
  <si>
    <t>ezl 지하철 1건</t>
  </si>
  <si>
    <t>휴대폰메시지(승인안내)-06월분</t>
  </si>
  <si>
    <t>카드의정석 포인트주거래 서울주택도시공사</t>
  </si>
  <si>
    <t>삼성화07008</t>
  </si>
  <si>
    <t>루미에르헤어 하남감일점</t>
  </si>
  <si>
    <t>연탄불고기</t>
  </si>
  <si>
    <t>하남 하머니_ARS_체육시설_문화비</t>
  </si>
  <si>
    <t>판타스틱코인노래연습장 강남수서역점</t>
  </si>
  <si>
    <t>연차수당</t>
  </si>
  <si>
    <t>농협유정숙</t>
  </si>
  <si>
    <t>중문</t>
  </si>
  <si>
    <t>윤이상사(씨스페이스서울경찰청점)</t>
  </si>
  <si>
    <t>고구마 간식 아이구마</t>
  </si>
  <si>
    <t>주식회사 버킷플레이스</t>
  </si>
  <si>
    <t>아기 치즈</t>
  </si>
  <si>
    <t>앤스커피(Anne's coffee)</t>
  </si>
  <si>
    <t>전주콩나물국밥</t>
  </si>
  <si>
    <t>달걀</t>
  </si>
  <si>
    <t>ezl 지하철 5건 이용</t>
  </si>
  <si>
    <t>경성수제돈까스</t>
  </si>
  <si>
    <t>중국집</t>
  </si>
  <si>
    <t>구글포토</t>
  </si>
  <si>
    <t>(주)다우데이타_키오스크_1</t>
  </si>
  <si>
    <t>팥빙수</t>
  </si>
  <si>
    <t>파리바게뜨 오금현대점</t>
  </si>
  <si>
    <t>ezl 지하철 5건</t>
  </si>
  <si>
    <t>신한박영노</t>
  </si>
  <si>
    <t>입주청소</t>
  </si>
  <si>
    <t>십일번가 주식회사</t>
  </si>
  <si>
    <t>물티슈</t>
  </si>
  <si>
    <t>점심 외식</t>
  </si>
  <si>
    <t>SH-급여</t>
  </si>
  <si>
    <t>통장 이자</t>
  </si>
  <si>
    <t>문화비_티켓링크</t>
  </si>
  <si>
    <t>(주)이마트</t>
  </si>
  <si>
    <t>로쏘커피(ROSSO COFFEE)</t>
  </si>
  <si>
    <t>보육료)</t>
  </si>
  <si>
    <t>롯데국민행복 신용카드</t>
  </si>
  <si>
    <t>엔제리너스잠실롯데월드몰B1층</t>
  </si>
  <si>
    <t>대출</t>
  </si>
  <si>
    <t>대출이자원가</t>
  </si>
  <si>
    <t>(주)코리아세븐 오금대림점</t>
  </si>
  <si>
    <t>씨제이올리브네트웍스(주)방이역점</t>
  </si>
  <si>
    <t>새마을포차(방이역점)</t>
  </si>
  <si>
    <t>최종진</t>
  </si>
  <si>
    <t>법원행정처</t>
  </si>
  <si>
    <t>롯데슈퍼하남감일점</t>
  </si>
  <si>
    <t>결산이자</t>
  </si>
  <si>
    <t>정기이자 입금</t>
  </si>
  <si>
    <t>유정숙</t>
  </si>
  <si>
    <t>강재은줄눈</t>
  </si>
  <si>
    <t>삼성화재해상보험-수기매출</t>
  </si>
  <si>
    <t>자매분식</t>
  </si>
  <si>
    <t>조승원</t>
  </si>
  <si>
    <t>이지효</t>
  </si>
  <si>
    <t>네세서리 커피</t>
  </si>
  <si>
    <t>K-패스 추가 교통비 캐시백</t>
  </si>
  <si>
    <t>K-패스 환급금 입금</t>
  </si>
  <si>
    <t>서울주택도시공사후생시설운영위원회</t>
  </si>
  <si>
    <t>김*주</t>
  </si>
  <si>
    <t>ezl 지하철 3건 이용</t>
  </si>
  <si>
    <t>복지포인트</t>
  </si>
  <si>
    <t>현대해상화재보험(주)수기판매</t>
  </si>
  <si>
    <t>김복희</t>
  </si>
  <si>
    <t>국민김복희</t>
  </si>
  <si>
    <t>우리카드결제대금</t>
  </si>
  <si>
    <t>(주)신세계프라퍼티 위례점</t>
  </si>
  <si>
    <t>T카페오더</t>
  </si>
  <si>
    <t>(주)에프알엘코리아</t>
  </si>
  <si>
    <t>CJ CGV_상품_오프라인</t>
  </si>
  <si>
    <t>자동결제</t>
  </si>
  <si>
    <t>카카최영범</t>
  </si>
  <si>
    <t>이재민</t>
  </si>
  <si>
    <t>ezl 지하철 3건</t>
  </si>
  <si>
    <t>현대옥하남감일점</t>
  </si>
  <si>
    <t>하나장정인</t>
  </si>
  <si>
    <t>백승민</t>
  </si>
  <si>
    <t>2363삼성</t>
  </si>
  <si>
    <t>코원에너지서비스(주)_현장결</t>
  </si>
  <si>
    <t>(주)스마트로</t>
  </si>
  <si>
    <t>분타 일원점</t>
  </si>
  <si>
    <t>강*은</t>
  </si>
  <si>
    <t>삼성화06007</t>
  </si>
  <si>
    <t>예금(9508)해지</t>
  </si>
  <si>
    <t>휴대폰메시지(승인안내)-05월분</t>
  </si>
  <si>
    <t>메가엠지씨커피 일원맛의거리점</t>
  </si>
  <si>
    <t>핵밥 일원점</t>
  </si>
  <si>
    <t>KB카드출금</t>
  </si>
  <si>
    <t>조은온누리약국</t>
  </si>
  <si>
    <t>연세수이비인후과의원</t>
  </si>
  <si>
    <t>재단법인 프라움김정실재단</t>
  </si>
  <si>
    <t>(주)에스씨케이컴퍼</t>
  </si>
  <si>
    <t>백소정(일원점)</t>
  </si>
  <si>
    <t>카드 캐시백 취소</t>
  </si>
  <si>
    <t>토스페이_타다_토스페이먼츠</t>
  </si>
  <si>
    <t>타다</t>
  </si>
  <si>
    <t>카드 캐시백</t>
  </si>
  <si>
    <t>도미노피자 온라인 이니시스</t>
  </si>
  <si>
    <t>정성약국</t>
  </si>
  <si>
    <t>알비안녕의원</t>
  </si>
  <si>
    <t>롯데쇼핑(주)</t>
  </si>
  <si>
    <t>우수아</t>
  </si>
  <si>
    <t>일등약국</t>
  </si>
  <si>
    <t>에코이비인후과의원</t>
  </si>
  <si>
    <t>자동 모으기</t>
  </si>
  <si>
    <t>예금(9759)해지</t>
  </si>
  <si>
    <t>NICE</t>
  </si>
  <si>
    <t>ezl 지하철 4건 이용</t>
  </si>
  <si>
    <t>박상은(썬플라워베이</t>
  </si>
  <si>
    <t>아파트관리비</t>
  </si>
  <si>
    <t>ezl 지하철 4건</t>
  </si>
  <si>
    <t>파리바게뜨 이동점</t>
  </si>
  <si>
    <t>스마일5520</t>
  </si>
  <si>
    <t>(주)코리아세븐 뉴대청역점</t>
  </si>
  <si>
    <t>산월숯불갈비</t>
  </si>
  <si>
    <t>엄마</t>
  </si>
  <si>
    <t>우리카드선결제</t>
  </si>
  <si>
    <t>ezl 버스 3건 이용</t>
  </si>
  <si>
    <t>ezl 버스 3건</t>
  </si>
  <si>
    <t>강*미</t>
  </si>
  <si>
    <t>고*란</t>
  </si>
  <si>
    <t>LF</t>
  </si>
  <si>
    <t>시올돈(일원점)</t>
  </si>
  <si>
    <t>휴대폰메시지(승인안내)-04월분</t>
  </si>
  <si>
    <t>서울특별시</t>
  </si>
  <si>
    <t>(주)코니바이에린</t>
  </si>
  <si>
    <t>삼성화05006</t>
  </si>
  <si>
    <t>4월교통카드이용</t>
  </si>
  <si>
    <t>주식회사 스타필드하</t>
  </si>
  <si>
    <t>홈플러스</t>
  </si>
  <si>
    <t>74169231_이</t>
  </si>
  <si>
    <t>어버이날</t>
  </si>
  <si>
    <t>플라워테라피</t>
  </si>
  <si>
    <t>오륜주유소</t>
  </si>
  <si>
    <t>11번가-SK Pay</t>
  </si>
  <si>
    <t>써브웨이 대청점</t>
  </si>
  <si>
    <t>CJCGV(씨제이</t>
  </si>
  <si>
    <t>신성통상(주) TO</t>
  </si>
  <si>
    <t>홈플러스(주)강동점</t>
  </si>
  <si>
    <t>주식회사제이온</t>
  </si>
  <si>
    <t>카카오</t>
  </si>
  <si>
    <t>0205992990349</t>
  </si>
  <si>
    <t>메가엠지씨커피 서울여대점</t>
  </si>
  <si>
    <t>(주)에스케이플래닛_문화비</t>
  </si>
  <si>
    <t>교통-버스 2건</t>
  </si>
  <si>
    <t>교통-지하철 2건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</si>
</sst>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#,##0.00\ &quot;%&quot;\ "/>
    <numFmt numFmtId="178" formatCode="hh:mm"/>
  </numFmts>
  <fonts count="5" x14ac:knownFonts="1">
    <font>
      <sz val="11"/>
      <color theme="1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ADEB9"/>
        <bgColor indexed="64"/>
      </patternFill>
    </fill>
    <fill>
      <patternFill patternType="solid">
        <fgColor rgb="FFB0CD96"/>
        <bgColor indexed="64"/>
      </patternFill>
    </fill>
    <fill>
      <patternFill patternType="solid">
        <fgColor rgb="FF7EAB55"/>
        <bgColor indexed="64"/>
      </patternFill>
    </fill>
    <fill>
      <patternFill patternType="solid">
        <fgColor rgb="FFE4EEDD"/>
        <bgColor indexed="64"/>
      </patternFill>
    </fill>
    <fill>
      <patternFill patternType="solid">
        <fgColor rgb="FF5E813F"/>
        <bgColor indexed="64"/>
      </patternFill>
    </fill>
    <fill>
      <patternFill patternType="solid">
        <fgColor rgb="FFCADEBA"/>
        <bgColor indexed="64"/>
      </patternFill>
    </fill>
    <fill>
      <patternFill patternType="solid">
        <fgColor rgb="FFCBDEB9"/>
        <bgColor indexed="64"/>
      </patternFill>
    </fill>
    <fill>
      <patternFill patternType="solid">
        <fgColor rgb="FF5E8140"/>
        <bgColor indexed="64"/>
      </patternFill>
    </fill>
    <fill>
      <patternFill patternType="solid">
        <fgColor rgb="FF5E8040"/>
        <bgColor indexed="64"/>
      </patternFill>
    </fill>
    <fill>
      <patternFill patternType="solid">
        <fgColor rgb="FF808080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3" fontId="0" fillId="0" borderId="7" xfId="0" applyNumberFormat="1" applyBorder="1"/>
    <xf numFmtId="0" fontId="2" fillId="4" borderId="3" xfId="0" applyFont="1" applyFill="1" applyBorder="1" applyAlignment="1">
      <alignment horizontal="center" vertical="center"/>
    </xf>
    <xf numFmtId="3" fontId="2" fillId="5" borderId="4" xfId="0" applyNumberFormat="1" applyFont="1" applyFill="1" applyBorder="1"/>
    <xf numFmtId="0" fontId="3" fillId="6" borderId="8" xfId="0" applyFont="1" applyFill="1" applyBorder="1" applyAlignment="1">
      <alignment horizontal="center" vertical="center"/>
    </xf>
    <xf numFmtId="3" fontId="2" fillId="7" borderId="9" xfId="0" applyNumberFormat="1" applyFont="1" applyFill="1" applyBorder="1"/>
    <xf numFmtId="0" fontId="2" fillId="3" borderId="1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13" xfId="0" applyBorder="1"/>
    <xf numFmtId="3" fontId="0" fillId="0" borderId="13" xfId="0" applyNumberFormat="1" applyBorder="1"/>
    <xf numFmtId="0" fontId="2" fillId="0" borderId="13" xfId="0" applyFont="1" applyBorder="1" applyAlignment="1">
      <alignment horizontal="center" vertical="center"/>
    </xf>
    <xf numFmtId="3" fontId="0" fillId="0" borderId="14" xfId="0" applyNumberFormat="1" applyBorder="1"/>
    <xf numFmtId="0" fontId="0" fillId="0" borderId="14" xfId="0" applyBorder="1"/>
    <xf numFmtId="3" fontId="2" fillId="8" borderId="13" xfId="0" applyNumberFormat="1" applyFont="1" applyFill="1" applyBorder="1"/>
    <xf numFmtId="3" fontId="2" fillId="8" borderId="14" xfId="0" applyNumberFormat="1" applyFont="1" applyFill="1" applyBorder="1"/>
    <xf numFmtId="0" fontId="3" fillId="10" borderId="17" xfId="0" applyFont="1" applyFill="1" applyBorder="1" applyAlignment="1">
      <alignment horizontal="center" vertical="center"/>
    </xf>
    <xf numFmtId="0" fontId="3" fillId="10" borderId="18" xfId="0" applyFont="1" applyFill="1" applyBorder="1" applyAlignment="1">
      <alignment horizontal="center" vertical="center"/>
    </xf>
    <xf numFmtId="0" fontId="0" fillId="0" borderId="11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3" fontId="0" fillId="0" borderId="19" xfId="0" applyNumberFormat="1" applyBorder="1"/>
    <xf numFmtId="176" fontId="0" fillId="0" borderId="7" xfId="0" applyNumberFormat="1" applyBorder="1"/>
    <xf numFmtId="0" fontId="2" fillId="7" borderId="20" xfId="0" applyFont="1" applyFill="1" applyBorder="1" applyAlignment="1">
      <alignment horizontal="center" vertical="center"/>
    </xf>
    <xf numFmtId="0" fontId="2" fillId="7" borderId="21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 vertical="center"/>
    </xf>
    <xf numFmtId="3" fontId="2" fillId="7" borderId="22" xfId="0" applyNumberFormat="1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center" vertical="center"/>
    </xf>
    <xf numFmtId="4" fontId="0" fillId="0" borderId="19" xfId="0" applyNumberFormat="1" applyBorder="1"/>
    <xf numFmtId="177" fontId="2" fillId="7" borderId="22" xfId="0" applyNumberFormat="1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horizontal="center" vertical="center"/>
    </xf>
    <xf numFmtId="0" fontId="0" fillId="11" borderId="0" xfId="0" applyFill="1" applyAlignment="1">
      <alignment horizontal="center" vertical="center"/>
    </xf>
    <xf numFmtId="176" fontId="0" fillId="0" borderId="0" xfId="0" applyNumberFormat="1"/>
    <xf numFmtId="178" fontId="0" fillId="0" borderId="0" xfId="0" applyNumberFormat="1"/>
    <xf numFmtId="0" fontId="2" fillId="2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13" xfId="0" applyBorder="1"/>
    <xf numFmtId="0" fontId="3" fillId="10" borderId="18" xfId="0" applyFont="1" applyFill="1" applyBorder="1" applyAlignment="1">
      <alignment horizontal="center" vertical="center"/>
    </xf>
    <xf numFmtId="0" fontId="0" fillId="0" borderId="7" xfId="0" applyBorder="1"/>
    <xf numFmtId="0" fontId="2" fillId="7" borderId="20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horizontal="center" vertical="center"/>
    </xf>
    <xf numFmtId="3" fontId="2" fillId="7" borderId="22" xfId="0" applyNumberFormat="1" applyFont="1" applyFill="1" applyBorder="1" applyAlignment="1">
      <alignment horizontal="center" vertical="center"/>
    </xf>
    <xf numFmtId="3" fontId="3" fillId="9" borderId="8" xfId="0" applyNumberFormat="1" applyFont="1" applyFill="1" applyBorder="1" applyAlignment="1">
      <alignment horizontal="center" vertical="center"/>
    </xf>
    <xf numFmtId="0" fontId="2" fillId="7" borderId="20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horizontal="center" vertical="center"/>
    </xf>
    <xf numFmtId="0" fontId="0" fillId="0" borderId="7" xfId="0" applyBorder="1"/>
    <xf numFmtId="3" fontId="2" fillId="7" borderId="22" xfId="0" applyNumberFormat="1" applyFont="1" applyFill="1" applyBorder="1" applyAlignment="1">
      <alignment horizontal="center" vertical="center"/>
    </xf>
    <xf numFmtId="3" fontId="3" fillId="6" borderId="8" xfId="0" applyNumberFormat="1" applyFont="1" applyFill="1" applyBorder="1" applyAlignment="1">
      <alignment horizontal="center" vertical="center"/>
    </xf>
    <xf numFmtId="0" fontId="3" fillId="10" borderId="18" xfId="0" applyFont="1" applyFill="1" applyBorder="1" applyAlignment="1">
      <alignment horizontal="center" vertical="center"/>
    </xf>
    <xf numFmtId="0" fontId="0" fillId="0" borderId="13" xfId="0" applyBorder="1"/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3" fillId="9" borderId="15" xfId="0" applyFont="1" applyFill="1" applyBorder="1" applyAlignment="1">
      <alignment horizontal="center" vertical="center"/>
    </xf>
    <xf numFmtId="3" fontId="2" fillId="8" borderId="16" xfId="0" applyNumberFormat="1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Q130"/>
  <sheetViews>
    <sheetView topLeftCell="A34" workbookViewId="0"/>
  </sheetViews>
  <sheetFormatPr defaultRowHeight="16.5" x14ac:dyDescent="0.3"/>
  <cols>
    <col min="1" max="1" width="2.75" customWidth="1"/>
    <col min="2" max="18" width="16.75" customWidth="1"/>
  </cols>
  <sheetData>
    <row r="3" spans="2:17" ht="20.25" x14ac:dyDescent="0.3">
      <c r="B3" s="1" t="s">
        <v>0</v>
      </c>
    </row>
    <row r="4" spans="2:17" ht="17.25" thickBot="1" x14ac:dyDescent="0.35">
      <c r="B4" t="s">
        <v>1</v>
      </c>
    </row>
    <row r="5" spans="2:17" x14ac:dyDescent="0.3">
      <c r="B5" s="2" t="s">
        <v>2</v>
      </c>
      <c r="C5" s="44" t="s">
        <v>3</v>
      </c>
      <c r="D5" s="44" t="s">
        <v>4</v>
      </c>
      <c r="E5" s="44" t="s">
        <v>5</v>
      </c>
      <c r="F5" s="69" t="s">
        <v>6</v>
      </c>
      <c r="G5" s="69"/>
    </row>
    <row r="6" spans="2:17" ht="17.25" thickBot="1" x14ac:dyDescent="0.35">
      <c r="B6" s="4" t="s">
        <v>277</v>
      </c>
      <c r="C6" s="45" t="s">
        <v>429</v>
      </c>
      <c r="D6" s="45">
        <v>36</v>
      </c>
      <c r="E6" s="45">
        <v>978</v>
      </c>
      <c r="F6" s="70" t="s">
        <v>9</v>
      </c>
      <c r="G6" s="70"/>
    </row>
    <row r="9" spans="2:17" ht="20.25" x14ac:dyDescent="0.3">
      <c r="B9" s="1" t="s">
        <v>10</v>
      </c>
    </row>
    <row r="10" spans="2:17" ht="17.25" thickBot="1" x14ac:dyDescent="0.35">
      <c r="B10" t="s">
        <v>11</v>
      </c>
    </row>
    <row r="11" spans="2:17" x14ac:dyDescent="0.3">
      <c r="B11" s="6" t="s">
        <v>12</v>
      </c>
      <c r="C11" s="7" t="s">
        <v>13</v>
      </c>
      <c r="D11" s="7" t="s">
        <v>14</v>
      </c>
      <c r="E11" s="8" t="s">
        <v>15</v>
      </c>
      <c r="F11" s="8" t="s">
        <v>16</v>
      </c>
      <c r="G11" s="8" t="s">
        <v>17</v>
      </c>
      <c r="H11" s="8" t="s">
        <v>18</v>
      </c>
      <c r="I11" s="8" t="s">
        <v>19</v>
      </c>
      <c r="J11" s="8" t="s">
        <v>20</v>
      </c>
      <c r="K11" s="8" t="s">
        <v>21</v>
      </c>
      <c r="L11" s="8" t="s">
        <v>22</v>
      </c>
      <c r="M11" s="8" t="s">
        <v>23</v>
      </c>
      <c r="N11" s="8" t="s">
        <v>24</v>
      </c>
      <c r="O11" s="8" t="s">
        <v>25</v>
      </c>
      <c r="P11" s="8" t="s">
        <v>26</v>
      </c>
      <c r="Q11" s="8" t="s">
        <v>27</v>
      </c>
    </row>
    <row r="12" spans="2:17" x14ac:dyDescent="0.3">
      <c r="B12" s="9" t="s">
        <v>28</v>
      </c>
      <c r="C12" s="10">
        <f t="shared" ref="C12:C39" si="0">SUM(E12:Q12)</f>
        <v>70311734</v>
      </c>
      <c r="D12" s="10">
        <f t="shared" ref="D12:D39" si="1">C12/13</f>
        <v>5408594.923076923</v>
      </c>
      <c r="E12" s="10">
        <v>2400</v>
      </c>
      <c r="F12" s="10">
        <v>1596</v>
      </c>
      <c r="G12" s="10">
        <v>2075</v>
      </c>
      <c r="H12" s="10">
        <v>11197756</v>
      </c>
      <c r="I12" s="10">
        <v>1975</v>
      </c>
      <c r="J12" s="10">
        <v>3547</v>
      </c>
      <c r="K12" s="10">
        <v>1747</v>
      </c>
      <c r="L12" s="10">
        <v>1500913</v>
      </c>
      <c r="M12" s="10">
        <v>21222228</v>
      </c>
      <c r="N12" s="10">
        <v>16335571</v>
      </c>
      <c r="O12" s="10">
        <v>364</v>
      </c>
      <c r="P12" s="10">
        <v>20040995</v>
      </c>
      <c r="Q12" s="10">
        <v>567</v>
      </c>
    </row>
    <row r="13" spans="2:17" x14ac:dyDescent="0.3">
      <c r="B13" s="9" t="s">
        <v>29</v>
      </c>
      <c r="C13" s="10">
        <f t="shared" si="0"/>
        <v>27386150</v>
      </c>
      <c r="D13" s="10">
        <f t="shared" si="1"/>
        <v>2106626.923076923</v>
      </c>
      <c r="E13" s="10">
        <v>0</v>
      </c>
      <c r="F13" s="10">
        <v>50000</v>
      </c>
      <c r="G13" s="10">
        <v>0</v>
      </c>
      <c r="H13" s="10">
        <v>414140</v>
      </c>
      <c r="I13" s="10">
        <v>12449369</v>
      </c>
      <c r="J13" s="10">
        <v>2834240</v>
      </c>
      <c r="K13" s="10">
        <v>0</v>
      </c>
      <c r="L13" s="10">
        <v>0</v>
      </c>
      <c r="M13" s="10">
        <v>0</v>
      </c>
      <c r="N13" s="10">
        <v>4069100</v>
      </c>
      <c r="O13" s="10">
        <v>3748100</v>
      </c>
      <c r="P13" s="10">
        <v>3744101</v>
      </c>
      <c r="Q13" s="10">
        <v>77100</v>
      </c>
    </row>
    <row r="14" spans="2:17" x14ac:dyDescent="0.3">
      <c r="B14" s="9" t="s">
        <v>30</v>
      </c>
      <c r="C14" s="10">
        <f t="shared" si="0"/>
        <v>10705292</v>
      </c>
      <c r="D14" s="10">
        <f t="shared" si="1"/>
        <v>823484</v>
      </c>
      <c r="E14" s="10">
        <v>0</v>
      </c>
      <c r="F14" s="10">
        <v>0</v>
      </c>
      <c r="G14" s="10">
        <v>0</v>
      </c>
      <c r="H14" s="10">
        <v>0</v>
      </c>
      <c r="I14" s="10">
        <v>10655382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18310</v>
      </c>
      <c r="P14" s="10">
        <v>31600</v>
      </c>
      <c r="Q14" s="10">
        <v>0</v>
      </c>
    </row>
    <row r="15" spans="2:17" x14ac:dyDescent="0.3">
      <c r="B15" s="9" t="s">
        <v>31</v>
      </c>
      <c r="C15" s="10">
        <f t="shared" si="0"/>
        <v>3004000</v>
      </c>
      <c r="D15" s="10">
        <f t="shared" si="1"/>
        <v>231076.92307692306</v>
      </c>
      <c r="E15" s="10">
        <v>0</v>
      </c>
      <c r="F15" s="10">
        <v>4000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3000000</v>
      </c>
      <c r="O15" s="10">
        <v>0</v>
      </c>
      <c r="P15" s="10">
        <v>0</v>
      </c>
      <c r="Q15" s="10">
        <v>0</v>
      </c>
    </row>
    <row r="16" spans="2:17" x14ac:dyDescent="0.3">
      <c r="B16" s="9" t="s">
        <v>430</v>
      </c>
      <c r="C16" s="10">
        <f t="shared" si="0"/>
        <v>1832790</v>
      </c>
      <c r="D16" s="10">
        <f t="shared" si="1"/>
        <v>140983.84615384616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1832790</v>
      </c>
    </row>
    <row r="17" spans="2:17" x14ac:dyDescent="0.3">
      <c r="B17" s="9" t="s">
        <v>32</v>
      </c>
      <c r="C17" s="10">
        <f t="shared" si="0"/>
        <v>177000</v>
      </c>
      <c r="D17" s="10">
        <f t="shared" si="1"/>
        <v>13615.384615384615</v>
      </c>
      <c r="E17" s="10">
        <v>0</v>
      </c>
      <c r="F17" s="10">
        <v>0</v>
      </c>
      <c r="G17" s="10">
        <v>0</v>
      </c>
      <c r="H17" s="10">
        <v>177000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</row>
    <row r="18" spans="2:17" x14ac:dyDescent="0.3">
      <c r="B18" s="9" t="s">
        <v>156</v>
      </c>
      <c r="C18" s="10">
        <f t="shared" si="0"/>
        <v>770</v>
      </c>
      <c r="D18" s="10">
        <f t="shared" si="1"/>
        <v>59.230769230769234</v>
      </c>
      <c r="E18" s="10">
        <v>0</v>
      </c>
      <c r="F18" s="10">
        <v>0</v>
      </c>
      <c r="G18" s="10">
        <v>0</v>
      </c>
      <c r="H18" s="10">
        <v>0</v>
      </c>
      <c r="I18" s="10">
        <v>747</v>
      </c>
      <c r="J18" s="10">
        <v>0</v>
      </c>
      <c r="K18" s="10">
        <v>0</v>
      </c>
      <c r="L18" s="10">
        <v>22</v>
      </c>
      <c r="M18" s="10">
        <v>0</v>
      </c>
      <c r="N18" s="10">
        <v>1</v>
      </c>
      <c r="O18" s="10">
        <v>0</v>
      </c>
      <c r="P18" s="10">
        <v>0</v>
      </c>
      <c r="Q18" s="10">
        <v>0</v>
      </c>
    </row>
    <row r="19" spans="2:17" ht="17.25" thickBot="1" x14ac:dyDescent="0.35">
      <c r="B19" s="11" t="s">
        <v>33</v>
      </c>
      <c r="C19" s="12">
        <f t="shared" si="0"/>
        <v>113417736</v>
      </c>
      <c r="D19" s="12">
        <f t="shared" si="1"/>
        <v>8724441.2307692301</v>
      </c>
      <c r="E19" s="12">
        <f t="shared" ref="E19:Q19" si="2">SUM(E12:E18)</f>
        <v>2400</v>
      </c>
      <c r="F19" s="12">
        <f t="shared" si="2"/>
        <v>55596</v>
      </c>
      <c r="G19" s="12">
        <f t="shared" si="2"/>
        <v>2075</v>
      </c>
      <c r="H19" s="12">
        <f t="shared" si="2"/>
        <v>11788896</v>
      </c>
      <c r="I19" s="12">
        <f t="shared" si="2"/>
        <v>23107473</v>
      </c>
      <c r="J19" s="12">
        <f t="shared" si="2"/>
        <v>2837787</v>
      </c>
      <c r="K19" s="12">
        <f t="shared" si="2"/>
        <v>1747</v>
      </c>
      <c r="L19" s="12">
        <f t="shared" si="2"/>
        <v>1500935</v>
      </c>
      <c r="M19" s="12">
        <f t="shared" si="2"/>
        <v>21222228</v>
      </c>
      <c r="N19" s="12">
        <f t="shared" si="2"/>
        <v>23404672</v>
      </c>
      <c r="O19" s="12">
        <f t="shared" si="2"/>
        <v>3766774</v>
      </c>
      <c r="P19" s="12">
        <f t="shared" si="2"/>
        <v>23816696</v>
      </c>
      <c r="Q19" s="12">
        <f t="shared" si="2"/>
        <v>1910457</v>
      </c>
    </row>
    <row r="20" spans="2:17" x14ac:dyDescent="0.3">
      <c r="B20" s="9" t="s">
        <v>34</v>
      </c>
      <c r="C20" s="10">
        <f t="shared" si="0"/>
        <v>309398</v>
      </c>
      <c r="D20" s="10">
        <f t="shared" si="1"/>
        <v>23799.846153846152</v>
      </c>
      <c r="E20" s="10">
        <v>0</v>
      </c>
      <c r="F20" s="10">
        <v>0</v>
      </c>
      <c r="G20" s="10">
        <v>9298</v>
      </c>
      <c r="H20" s="10">
        <v>0</v>
      </c>
      <c r="I20" s="10">
        <v>0</v>
      </c>
      <c r="J20" s="10">
        <v>0</v>
      </c>
      <c r="K20" s="10">
        <v>100</v>
      </c>
      <c r="L20" s="10">
        <v>0</v>
      </c>
      <c r="M20" s="10">
        <v>0</v>
      </c>
      <c r="N20" s="10">
        <v>0</v>
      </c>
      <c r="O20" s="10">
        <v>300000</v>
      </c>
      <c r="P20" s="10">
        <v>0</v>
      </c>
      <c r="Q20" s="10">
        <v>0</v>
      </c>
    </row>
    <row r="21" spans="2:17" x14ac:dyDescent="0.3">
      <c r="B21" s="9" t="s">
        <v>35</v>
      </c>
      <c r="C21" s="10">
        <f t="shared" si="0"/>
        <v>12000</v>
      </c>
      <c r="D21" s="10">
        <f t="shared" si="1"/>
        <v>923.07692307692309</v>
      </c>
      <c r="E21" s="10">
        <v>8000</v>
      </c>
      <c r="F21" s="10">
        <v>4000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</row>
    <row r="22" spans="2:17" x14ac:dyDescent="0.3">
      <c r="B22" s="9" t="s">
        <v>36</v>
      </c>
      <c r="C22" s="10">
        <f t="shared" si="0"/>
        <v>430300</v>
      </c>
      <c r="D22" s="10">
        <f t="shared" si="1"/>
        <v>33100</v>
      </c>
      <c r="E22" s="10">
        <v>4850</v>
      </c>
      <c r="F22" s="10">
        <v>3100</v>
      </c>
      <c r="G22" s="10">
        <v>14300</v>
      </c>
      <c r="H22" s="10">
        <v>28800</v>
      </c>
      <c r="I22" s="10">
        <v>9850</v>
      </c>
      <c r="J22" s="10">
        <v>26200</v>
      </c>
      <c r="K22" s="10">
        <v>26000</v>
      </c>
      <c r="L22" s="10">
        <v>1500</v>
      </c>
      <c r="M22" s="10">
        <v>87400</v>
      </c>
      <c r="N22" s="10">
        <v>61150</v>
      </c>
      <c r="O22" s="10">
        <v>77250</v>
      </c>
      <c r="P22" s="10">
        <v>33000</v>
      </c>
      <c r="Q22" s="10">
        <v>56900</v>
      </c>
    </row>
    <row r="23" spans="2:17" x14ac:dyDescent="0.3">
      <c r="B23" s="9" t="s">
        <v>37</v>
      </c>
      <c r="C23" s="10">
        <f t="shared" si="0"/>
        <v>44447364</v>
      </c>
      <c r="D23" s="10">
        <f t="shared" si="1"/>
        <v>3419028</v>
      </c>
      <c r="E23" s="10">
        <v>182765</v>
      </c>
      <c r="F23" s="10">
        <v>1022899</v>
      </c>
      <c r="G23" s="10">
        <v>1778004</v>
      </c>
      <c r="H23" s="10">
        <v>1132303</v>
      </c>
      <c r="I23" s="10">
        <v>1392674</v>
      </c>
      <c r="J23" s="10">
        <v>1952823</v>
      </c>
      <c r="K23" s="10">
        <v>1667902</v>
      </c>
      <c r="L23" s="10">
        <v>1224928</v>
      </c>
      <c r="M23" s="10">
        <v>11895035</v>
      </c>
      <c r="N23" s="10">
        <v>1413053</v>
      </c>
      <c r="O23" s="10">
        <v>340886</v>
      </c>
      <c r="P23" s="10">
        <v>398086</v>
      </c>
      <c r="Q23" s="10">
        <v>20046006</v>
      </c>
    </row>
    <row r="24" spans="2:17" x14ac:dyDescent="0.3">
      <c r="B24" s="9" t="s">
        <v>38</v>
      </c>
      <c r="C24" s="10">
        <f t="shared" si="0"/>
        <v>1200910</v>
      </c>
      <c r="D24" s="10">
        <f t="shared" si="1"/>
        <v>92377.692307692312</v>
      </c>
      <c r="E24" s="10">
        <v>217200</v>
      </c>
      <c r="F24" s="10">
        <v>79000</v>
      </c>
      <c r="G24" s="10">
        <v>21200</v>
      </c>
      <c r="H24" s="10">
        <v>141250</v>
      </c>
      <c r="I24" s="10">
        <v>120900</v>
      </c>
      <c r="J24" s="10">
        <v>35000</v>
      </c>
      <c r="K24" s="10">
        <v>139200</v>
      </c>
      <c r="L24" s="10">
        <v>41300</v>
      </c>
      <c r="M24" s="10">
        <v>30000</v>
      </c>
      <c r="N24" s="10">
        <v>22500</v>
      </c>
      <c r="O24" s="10">
        <v>163800</v>
      </c>
      <c r="P24" s="10">
        <v>168000</v>
      </c>
      <c r="Q24" s="10">
        <v>21560</v>
      </c>
    </row>
    <row r="25" spans="2:17" x14ac:dyDescent="0.3">
      <c r="B25" s="9" t="s">
        <v>431</v>
      </c>
      <c r="C25" s="10">
        <f t="shared" si="0"/>
        <v>2970</v>
      </c>
      <c r="D25" s="10">
        <f t="shared" si="1"/>
        <v>228.46153846153845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2970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</row>
    <row r="26" spans="2:17" x14ac:dyDescent="0.3">
      <c r="B26" s="9" t="s">
        <v>39</v>
      </c>
      <c r="C26" s="10">
        <f t="shared" si="0"/>
        <v>241840</v>
      </c>
      <c r="D26" s="10">
        <f t="shared" si="1"/>
        <v>18603.076923076922</v>
      </c>
      <c r="E26" s="10">
        <v>3000</v>
      </c>
      <c r="F26" s="10">
        <v>8610</v>
      </c>
      <c r="G26" s="10">
        <v>3490</v>
      </c>
      <c r="H26" s="10">
        <v>2000</v>
      </c>
      <c r="I26" s="10">
        <v>70530</v>
      </c>
      <c r="J26" s="10">
        <v>42240</v>
      </c>
      <c r="K26" s="10">
        <v>0</v>
      </c>
      <c r="L26" s="10">
        <v>0</v>
      </c>
      <c r="M26" s="10">
        <v>21170</v>
      </c>
      <c r="N26" s="10">
        <v>20000</v>
      </c>
      <c r="O26" s="10">
        <v>10000</v>
      </c>
      <c r="P26" s="10">
        <v>37800</v>
      </c>
      <c r="Q26" s="10">
        <v>23000</v>
      </c>
    </row>
    <row r="27" spans="2:17" x14ac:dyDescent="0.3">
      <c r="B27" s="9" t="s">
        <v>40</v>
      </c>
      <c r="C27" s="10">
        <f t="shared" si="0"/>
        <v>2114401</v>
      </c>
      <c r="D27" s="10">
        <f t="shared" si="1"/>
        <v>162646.23076923078</v>
      </c>
      <c r="E27" s="10">
        <v>9500</v>
      </c>
      <c r="F27" s="10">
        <v>51690</v>
      </c>
      <c r="G27" s="10">
        <v>241870</v>
      </c>
      <c r="H27" s="10">
        <v>180706</v>
      </c>
      <c r="I27" s="10">
        <v>225590</v>
      </c>
      <c r="J27" s="10">
        <v>290250</v>
      </c>
      <c r="K27" s="10">
        <v>206110</v>
      </c>
      <c r="L27" s="10">
        <v>282380</v>
      </c>
      <c r="M27" s="10">
        <v>313967</v>
      </c>
      <c r="N27" s="10">
        <v>50418</v>
      </c>
      <c r="O27" s="10">
        <v>21100</v>
      </c>
      <c r="P27" s="10">
        <v>126020</v>
      </c>
      <c r="Q27" s="10">
        <v>114800</v>
      </c>
    </row>
    <row r="28" spans="2:17" x14ac:dyDescent="0.3">
      <c r="B28" s="9" t="s">
        <v>41</v>
      </c>
      <c r="C28" s="10">
        <f t="shared" si="0"/>
        <v>13600</v>
      </c>
      <c r="D28" s="10">
        <f t="shared" si="1"/>
        <v>1046.1538461538462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  <c r="N28" s="10">
        <v>0</v>
      </c>
      <c r="O28" s="10">
        <v>0</v>
      </c>
      <c r="P28" s="10">
        <v>13600</v>
      </c>
      <c r="Q28" s="10">
        <v>0</v>
      </c>
    </row>
    <row r="29" spans="2:17" x14ac:dyDescent="0.3">
      <c r="B29" s="9" t="s">
        <v>42</v>
      </c>
      <c r="C29" s="10">
        <f t="shared" si="0"/>
        <v>1652442</v>
      </c>
      <c r="D29" s="10">
        <f t="shared" si="1"/>
        <v>127110.92307692308</v>
      </c>
      <c r="E29" s="10">
        <v>43000</v>
      </c>
      <c r="F29" s="10">
        <v>92500</v>
      </c>
      <c r="G29" s="10">
        <v>114970</v>
      </c>
      <c r="H29" s="10">
        <v>139300</v>
      </c>
      <c r="I29" s="10">
        <v>106740</v>
      </c>
      <c r="J29" s="10">
        <v>85540</v>
      </c>
      <c r="K29" s="10">
        <v>142240</v>
      </c>
      <c r="L29" s="10">
        <v>96177</v>
      </c>
      <c r="M29" s="10">
        <v>107405</v>
      </c>
      <c r="N29" s="10">
        <v>83000</v>
      </c>
      <c r="O29" s="10">
        <v>250130</v>
      </c>
      <c r="P29" s="10">
        <v>237140</v>
      </c>
      <c r="Q29" s="10">
        <v>154300</v>
      </c>
    </row>
    <row r="30" spans="2:17" x14ac:dyDescent="0.3">
      <c r="B30" s="9" t="s">
        <v>43</v>
      </c>
      <c r="C30" s="10">
        <f t="shared" si="0"/>
        <v>341218</v>
      </c>
      <c r="D30" s="10">
        <f t="shared" si="1"/>
        <v>26247.538461538461</v>
      </c>
      <c r="E30" s="10">
        <v>0</v>
      </c>
      <c r="F30" s="10">
        <v>238218</v>
      </c>
      <c r="G30" s="10">
        <v>0</v>
      </c>
      <c r="H30" s="10">
        <v>0</v>
      </c>
      <c r="I30" s="10">
        <v>6000</v>
      </c>
      <c r="J30" s="10">
        <v>0</v>
      </c>
      <c r="K30" s="10">
        <v>8000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89000</v>
      </c>
    </row>
    <row r="31" spans="2:17" x14ac:dyDescent="0.3">
      <c r="B31" s="9" t="s">
        <v>44</v>
      </c>
      <c r="C31" s="10">
        <f t="shared" si="0"/>
        <v>3534284</v>
      </c>
      <c r="D31" s="10">
        <f t="shared" si="1"/>
        <v>271868</v>
      </c>
      <c r="E31" s="10">
        <v>38000</v>
      </c>
      <c r="F31" s="10">
        <v>39100</v>
      </c>
      <c r="G31" s="10">
        <v>490498</v>
      </c>
      <c r="H31" s="10">
        <v>144240</v>
      </c>
      <c r="I31" s="10">
        <v>545038</v>
      </c>
      <c r="J31" s="10">
        <v>58069</v>
      </c>
      <c r="K31" s="10">
        <v>136560</v>
      </c>
      <c r="L31" s="10">
        <v>976149</v>
      </c>
      <c r="M31" s="10">
        <v>173801</v>
      </c>
      <c r="N31" s="10">
        <v>366997</v>
      </c>
      <c r="O31" s="10">
        <v>393090</v>
      </c>
      <c r="P31" s="10">
        <v>142590</v>
      </c>
      <c r="Q31" s="10">
        <v>30152</v>
      </c>
    </row>
    <row r="32" spans="2:17" x14ac:dyDescent="0.3">
      <c r="B32" s="9" t="s">
        <v>45</v>
      </c>
      <c r="C32" s="10">
        <f t="shared" si="0"/>
        <v>1470180</v>
      </c>
      <c r="D32" s="10">
        <f t="shared" si="1"/>
        <v>113090.76923076923</v>
      </c>
      <c r="E32" s="10">
        <v>0</v>
      </c>
      <c r="F32" s="10">
        <v>273600</v>
      </c>
      <c r="G32" s="10">
        <v>26500</v>
      </c>
      <c r="H32" s="10">
        <v>162000</v>
      </c>
      <c r="I32" s="10">
        <v>91300</v>
      </c>
      <c r="J32" s="10">
        <v>37600</v>
      </c>
      <c r="K32" s="10">
        <v>45900</v>
      </c>
      <c r="L32" s="10">
        <v>12700</v>
      </c>
      <c r="M32" s="10">
        <v>10800</v>
      </c>
      <c r="N32" s="10">
        <v>256900</v>
      </c>
      <c r="O32" s="10">
        <v>233000</v>
      </c>
      <c r="P32" s="10">
        <v>195400</v>
      </c>
      <c r="Q32" s="10">
        <v>124480</v>
      </c>
    </row>
    <row r="33" spans="2:17" x14ac:dyDescent="0.3">
      <c r="B33" s="9" t="s">
        <v>46</v>
      </c>
      <c r="C33" s="10">
        <f t="shared" si="0"/>
        <v>2569230</v>
      </c>
      <c r="D33" s="10">
        <f t="shared" si="1"/>
        <v>197633.07692307694</v>
      </c>
      <c r="E33" s="10">
        <v>0</v>
      </c>
      <c r="F33" s="10">
        <v>43300</v>
      </c>
      <c r="G33" s="10">
        <v>30000</v>
      </c>
      <c r="H33" s="10">
        <v>6200</v>
      </c>
      <c r="I33" s="10">
        <v>19650</v>
      </c>
      <c r="J33" s="10">
        <v>20300</v>
      </c>
      <c r="K33" s="10">
        <v>47400</v>
      </c>
      <c r="L33" s="10">
        <v>0</v>
      </c>
      <c r="M33" s="10">
        <v>735000</v>
      </c>
      <c r="N33" s="10">
        <v>515000</v>
      </c>
      <c r="O33" s="10">
        <v>565800</v>
      </c>
      <c r="P33" s="10">
        <v>515000</v>
      </c>
      <c r="Q33" s="10">
        <v>71580</v>
      </c>
    </row>
    <row r="34" spans="2:17" x14ac:dyDescent="0.3">
      <c r="B34" s="9" t="s">
        <v>47</v>
      </c>
      <c r="C34" s="10">
        <f t="shared" si="0"/>
        <v>166050</v>
      </c>
      <c r="D34" s="10">
        <f t="shared" si="1"/>
        <v>12773.076923076924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400</v>
      </c>
      <c r="K34" s="10">
        <v>50000</v>
      </c>
      <c r="L34" s="10">
        <v>0</v>
      </c>
      <c r="M34" s="10">
        <v>0</v>
      </c>
      <c r="N34" s="10">
        <v>50000</v>
      </c>
      <c r="O34" s="10">
        <v>50000</v>
      </c>
      <c r="P34" s="10">
        <v>0</v>
      </c>
      <c r="Q34" s="10">
        <v>15650</v>
      </c>
    </row>
    <row r="35" spans="2:17" x14ac:dyDescent="0.3">
      <c r="B35" s="9" t="s">
        <v>48</v>
      </c>
      <c r="C35" s="10">
        <f t="shared" si="0"/>
        <v>7365246</v>
      </c>
      <c r="D35" s="10">
        <f t="shared" si="1"/>
        <v>566557.38461538462</v>
      </c>
      <c r="E35" s="10">
        <v>721590</v>
      </c>
      <c r="F35" s="10">
        <v>318420</v>
      </c>
      <c r="G35" s="10">
        <v>365760</v>
      </c>
      <c r="H35" s="10">
        <v>290310</v>
      </c>
      <c r="I35" s="10">
        <v>704380</v>
      </c>
      <c r="J35" s="10">
        <v>308190</v>
      </c>
      <c r="K35" s="10">
        <v>792610</v>
      </c>
      <c r="L35" s="10">
        <v>1228506</v>
      </c>
      <c r="M35" s="10">
        <v>368770</v>
      </c>
      <c r="N35" s="10">
        <v>399760</v>
      </c>
      <c r="O35" s="10">
        <v>398000</v>
      </c>
      <c r="P35" s="10">
        <v>114280</v>
      </c>
      <c r="Q35" s="10">
        <v>1354670</v>
      </c>
    </row>
    <row r="36" spans="2:17" x14ac:dyDescent="0.3">
      <c r="B36" s="9" t="s">
        <v>49</v>
      </c>
      <c r="C36" s="10">
        <f t="shared" si="0"/>
        <v>660660</v>
      </c>
      <c r="D36" s="10">
        <f t="shared" si="1"/>
        <v>50820</v>
      </c>
      <c r="E36" s="10">
        <v>17820</v>
      </c>
      <c r="F36" s="10">
        <v>116890</v>
      </c>
      <c r="G36" s="10">
        <v>58650</v>
      </c>
      <c r="H36" s="10">
        <v>53970</v>
      </c>
      <c r="I36" s="10">
        <v>28310</v>
      </c>
      <c r="J36" s="10">
        <v>47590</v>
      </c>
      <c r="K36" s="10">
        <v>30570</v>
      </c>
      <c r="L36" s="10">
        <v>7870</v>
      </c>
      <c r="M36" s="10">
        <v>48390</v>
      </c>
      <c r="N36" s="10">
        <v>16690</v>
      </c>
      <c r="O36" s="10">
        <v>58280</v>
      </c>
      <c r="P36" s="10">
        <v>104130</v>
      </c>
      <c r="Q36" s="10">
        <v>71500</v>
      </c>
    </row>
    <row r="37" spans="2:17" x14ac:dyDescent="0.3">
      <c r="B37" s="9" t="s">
        <v>50</v>
      </c>
      <c r="C37" s="10">
        <f t="shared" si="0"/>
        <v>1445630</v>
      </c>
      <c r="D37" s="10">
        <f t="shared" si="1"/>
        <v>111202.30769230769</v>
      </c>
      <c r="E37" s="10">
        <v>0</v>
      </c>
      <c r="F37" s="10">
        <v>60140</v>
      </c>
      <c r="G37" s="10">
        <v>33200</v>
      </c>
      <c r="H37" s="10">
        <v>91500</v>
      </c>
      <c r="I37" s="10">
        <v>28970</v>
      </c>
      <c r="J37" s="10">
        <v>64910</v>
      </c>
      <c r="K37" s="10">
        <v>11510</v>
      </c>
      <c r="L37" s="10">
        <v>130830</v>
      </c>
      <c r="M37" s="10">
        <v>456500</v>
      </c>
      <c r="N37" s="10">
        <v>85000</v>
      </c>
      <c r="O37" s="10">
        <v>256020</v>
      </c>
      <c r="P37" s="10">
        <v>227050</v>
      </c>
      <c r="Q37" s="10">
        <v>0</v>
      </c>
    </row>
    <row r="38" spans="2:17" ht="17.25" thickBot="1" x14ac:dyDescent="0.35">
      <c r="B38" s="11" t="s">
        <v>51</v>
      </c>
      <c r="C38" s="12">
        <f t="shared" si="0"/>
        <v>67977723</v>
      </c>
      <c r="D38" s="12">
        <f t="shared" si="1"/>
        <v>5229055.615384615</v>
      </c>
      <c r="E38" s="12">
        <f t="shared" ref="E38:Q38" si="3">SUM(E20:E37)</f>
        <v>1245725</v>
      </c>
      <c r="F38" s="12">
        <f t="shared" si="3"/>
        <v>2351467</v>
      </c>
      <c r="G38" s="12">
        <f t="shared" si="3"/>
        <v>3187740</v>
      </c>
      <c r="H38" s="12">
        <f t="shared" si="3"/>
        <v>2372579</v>
      </c>
      <c r="I38" s="12">
        <f t="shared" si="3"/>
        <v>3349932</v>
      </c>
      <c r="J38" s="12">
        <f t="shared" si="3"/>
        <v>2969112</v>
      </c>
      <c r="K38" s="12">
        <f t="shared" si="3"/>
        <v>3304102</v>
      </c>
      <c r="L38" s="12">
        <f t="shared" si="3"/>
        <v>4005310</v>
      </c>
      <c r="M38" s="12">
        <f t="shared" si="3"/>
        <v>14248238</v>
      </c>
      <c r="N38" s="12">
        <f t="shared" si="3"/>
        <v>3340468</v>
      </c>
      <c r="O38" s="12">
        <f t="shared" si="3"/>
        <v>3117356</v>
      </c>
      <c r="P38" s="12">
        <f t="shared" si="3"/>
        <v>2312096</v>
      </c>
      <c r="Q38" s="12">
        <f t="shared" si="3"/>
        <v>22173598</v>
      </c>
    </row>
    <row r="39" spans="2:17" ht="17.25" thickBot="1" x14ac:dyDescent="0.35">
      <c r="B39" s="13" t="s">
        <v>52</v>
      </c>
      <c r="C39" s="14">
        <f t="shared" si="0"/>
        <v>45440013</v>
      </c>
      <c r="D39" s="14">
        <f t="shared" si="1"/>
        <v>3495385.6153846155</v>
      </c>
      <c r="E39" s="14">
        <f t="shared" ref="E39:Q39" si="4">E19-E38</f>
        <v>-1243325</v>
      </c>
      <c r="F39" s="14">
        <f t="shared" si="4"/>
        <v>-2295871</v>
      </c>
      <c r="G39" s="14">
        <f t="shared" si="4"/>
        <v>-3185665</v>
      </c>
      <c r="H39" s="14">
        <f t="shared" si="4"/>
        <v>9416317</v>
      </c>
      <c r="I39" s="14">
        <f t="shared" si="4"/>
        <v>19757541</v>
      </c>
      <c r="J39" s="14">
        <f t="shared" si="4"/>
        <v>-131325</v>
      </c>
      <c r="K39" s="14">
        <f t="shared" si="4"/>
        <v>-3302355</v>
      </c>
      <c r="L39" s="14">
        <f t="shared" si="4"/>
        <v>-2504375</v>
      </c>
      <c r="M39" s="14">
        <f t="shared" si="4"/>
        <v>6973990</v>
      </c>
      <c r="N39" s="14">
        <f t="shared" si="4"/>
        <v>20064204</v>
      </c>
      <c r="O39" s="14">
        <f t="shared" si="4"/>
        <v>649418</v>
      </c>
      <c r="P39" s="14">
        <f t="shared" si="4"/>
        <v>21504600</v>
      </c>
      <c r="Q39" s="14">
        <f t="shared" si="4"/>
        <v>-20263141</v>
      </c>
    </row>
    <row r="42" spans="2:17" ht="20.25" x14ac:dyDescent="0.3">
      <c r="B42" s="1" t="s">
        <v>53</v>
      </c>
    </row>
    <row r="43" spans="2:17" ht="17.25" thickBot="1" x14ac:dyDescent="0.35">
      <c r="B43" t="s">
        <v>54</v>
      </c>
    </row>
    <row r="44" spans="2:17" x14ac:dyDescent="0.3">
      <c r="B44" s="71" t="s">
        <v>55</v>
      </c>
      <c r="C44" s="71"/>
      <c r="D44" s="71"/>
      <c r="E44" s="71"/>
      <c r="F44" s="72" t="s">
        <v>56</v>
      </c>
      <c r="G44" s="72"/>
      <c r="H44" s="72"/>
      <c r="I44" s="72"/>
    </row>
    <row r="45" spans="2:17" x14ac:dyDescent="0.3">
      <c r="B45" s="15" t="s">
        <v>12</v>
      </c>
      <c r="C45" s="73" t="s">
        <v>57</v>
      </c>
      <c r="D45" s="73"/>
      <c r="E45" s="46" t="s">
        <v>58</v>
      </c>
      <c r="F45" s="46" t="s">
        <v>12</v>
      </c>
      <c r="G45" s="73" t="s">
        <v>57</v>
      </c>
      <c r="H45" s="73"/>
      <c r="I45" s="46" t="s">
        <v>58</v>
      </c>
    </row>
    <row r="46" spans="2:17" x14ac:dyDescent="0.3">
      <c r="B46" s="68" t="s">
        <v>59</v>
      </c>
      <c r="C46" s="63" t="s">
        <v>432</v>
      </c>
      <c r="D46" s="63"/>
      <c r="E46" s="19">
        <v>36092</v>
      </c>
      <c r="F46" s="74" t="s">
        <v>98</v>
      </c>
      <c r="G46" s="63" t="s">
        <v>433</v>
      </c>
      <c r="H46" s="63"/>
      <c r="I46" s="21">
        <v>47471370</v>
      </c>
    </row>
    <row r="47" spans="2:17" x14ac:dyDescent="0.3">
      <c r="B47" s="68"/>
      <c r="C47" s="63" t="s">
        <v>63</v>
      </c>
      <c r="D47" s="63"/>
      <c r="E47" s="19">
        <v>5</v>
      </c>
      <c r="F47" s="74"/>
      <c r="G47" s="63" t="s">
        <v>434</v>
      </c>
      <c r="H47" s="63"/>
      <c r="I47" s="21">
        <v>0</v>
      </c>
    </row>
    <row r="48" spans="2:17" x14ac:dyDescent="0.3">
      <c r="B48" s="68"/>
      <c r="C48" s="63" t="s">
        <v>435</v>
      </c>
      <c r="D48" s="63"/>
      <c r="E48" s="19">
        <v>9</v>
      </c>
      <c r="F48" s="48"/>
      <c r="G48" s="63"/>
      <c r="H48" s="63"/>
      <c r="I48" s="22"/>
    </row>
    <row r="49" spans="2:9" x14ac:dyDescent="0.3">
      <c r="B49" s="68"/>
      <c r="C49" s="63" t="s">
        <v>436</v>
      </c>
      <c r="D49" s="63"/>
      <c r="E49" s="19">
        <v>1844</v>
      </c>
      <c r="F49" s="48"/>
      <c r="G49" s="63"/>
      <c r="H49" s="63"/>
      <c r="I49" s="22"/>
    </row>
    <row r="50" spans="2:9" x14ac:dyDescent="0.3">
      <c r="B50" s="68"/>
      <c r="C50" s="63" t="s">
        <v>437</v>
      </c>
      <c r="D50" s="63"/>
      <c r="E50" s="19">
        <v>0</v>
      </c>
      <c r="F50" s="48"/>
      <c r="G50" s="63"/>
      <c r="H50" s="63"/>
      <c r="I50" s="22"/>
    </row>
    <row r="51" spans="2:9" x14ac:dyDescent="0.3">
      <c r="B51" s="68"/>
      <c r="C51" s="63" t="s">
        <v>438</v>
      </c>
      <c r="D51" s="63"/>
      <c r="E51" s="19">
        <v>2170345</v>
      </c>
      <c r="F51" s="48"/>
      <c r="G51" s="63"/>
      <c r="H51" s="63"/>
      <c r="I51" s="22"/>
    </row>
    <row r="52" spans="2:9" x14ac:dyDescent="0.3">
      <c r="B52" s="68"/>
      <c r="C52" s="63" t="s">
        <v>67</v>
      </c>
      <c r="D52" s="63"/>
      <c r="E52" s="19">
        <v>549</v>
      </c>
      <c r="F52" s="48"/>
      <c r="G52" s="63"/>
      <c r="H52" s="63"/>
      <c r="I52" s="22"/>
    </row>
    <row r="53" spans="2:9" x14ac:dyDescent="0.3">
      <c r="B53" s="68"/>
      <c r="C53" s="63" t="s">
        <v>67</v>
      </c>
      <c r="D53" s="63"/>
      <c r="E53" s="19">
        <v>1557980</v>
      </c>
      <c r="F53" s="48"/>
      <c r="G53" s="63"/>
      <c r="H53" s="63"/>
      <c r="I53" s="22"/>
    </row>
    <row r="54" spans="2:9" x14ac:dyDescent="0.3">
      <c r="B54" s="68"/>
      <c r="C54" s="63" t="s">
        <v>67</v>
      </c>
      <c r="D54" s="63"/>
      <c r="E54" s="19">
        <v>1009396</v>
      </c>
      <c r="F54" s="48"/>
      <c r="G54" s="63"/>
      <c r="H54" s="63"/>
      <c r="I54" s="22"/>
    </row>
    <row r="55" spans="2:9" x14ac:dyDescent="0.3">
      <c r="B55" s="68"/>
      <c r="C55" s="63" t="s">
        <v>67</v>
      </c>
      <c r="D55" s="63"/>
      <c r="E55" s="19">
        <v>2259542</v>
      </c>
      <c r="F55" s="48"/>
      <c r="G55" s="63"/>
      <c r="H55" s="63"/>
      <c r="I55" s="22"/>
    </row>
    <row r="56" spans="2:9" x14ac:dyDescent="0.3">
      <c r="B56" s="68"/>
      <c r="C56" s="63" t="s">
        <v>439</v>
      </c>
      <c r="D56" s="63"/>
      <c r="E56" s="19">
        <v>0</v>
      </c>
      <c r="F56" s="48"/>
      <c r="G56" s="63"/>
      <c r="H56" s="63"/>
      <c r="I56" s="22"/>
    </row>
    <row r="57" spans="2:9" x14ac:dyDescent="0.3">
      <c r="B57" s="68"/>
      <c r="C57" s="63" t="s">
        <v>439</v>
      </c>
      <c r="D57" s="63"/>
      <c r="E57" s="19">
        <v>4</v>
      </c>
      <c r="F57" s="48"/>
      <c r="G57" s="63"/>
      <c r="H57" s="63"/>
      <c r="I57" s="22"/>
    </row>
    <row r="58" spans="2:9" x14ac:dyDescent="0.3">
      <c r="B58" s="68"/>
      <c r="C58" s="63" t="s">
        <v>68</v>
      </c>
      <c r="D58" s="63"/>
      <c r="E58" s="19">
        <v>100327</v>
      </c>
      <c r="F58" s="48"/>
      <c r="G58" s="63"/>
      <c r="H58" s="63"/>
      <c r="I58" s="22"/>
    </row>
    <row r="59" spans="2:9" x14ac:dyDescent="0.3">
      <c r="B59" s="68"/>
      <c r="C59" s="63" t="s">
        <v>440</v>
      </c>
      <c r="D59" s="63"/>
      <c r="E59" s="19">
        <v>4960</v>
      </c>
      <c r="F59" s="48"/>
      <c r="G59" s="63"/>
      <c r="H59" s="63"/>
      <c r="I59" s="22"/>
    </row>
    <row r="60" spans="2:9" x14ac:dyDescent="0.3">
      <c r="B60" s="68"/>
      <c r="C60" s="63" t="s">
        <v>440</v>
      </c>
      <c r="D60" s="63"/>
      <c r="E60" s="19">
        <v>3971537</v>
      </c>
      <c r="F60" s="48"/>
      <c r="G60" s="63"/>
      <c r="H60" s="63"/>
      <c r="I60" s="22"/>
    </row>
    <row r="61" spans="2:9" x14ac:dyDescent="0.3">
      <c r="B61" s="68"/>
      <c r="C61" s="63" t="s">
        <v>441</v>
      </c>
      <c r="D61" s="63"/>
      <c r="E61" s="19">
        <v>387417</v>
      </c>
      <c r="F61" s="48"/>
      <c r="G61" s="63"/>
      <c r="H61" s="63"/>
      <c r="I61" s="22"/>
    </row>
    <row r="62" spans="2:9" x14ac:dyDescent="0.3">
      <c r="B62" s="68"/>
      <c r="C62" s="63" t="s">
        <v>442</v>
      </c>
      <c r="D62" s="63"/>
      <c r="E62" s="19">
        <v>313</v>
      </c>
      <c r="F62" s="48"/>
      <c r="G62" s="63"/>
      <c r="H62" s="63"/>
      <c r="I62" s="22"/>
    </row>
    <row r="63" spans="2:9" x14ac:dyDescent="0.3">
      <c r="B63" s="47" t="s">
        <v>69</v>
      </c>
      <c r="C63" s="63"/>
      <c r="D63" s="63"/>
      <c r="E63" s="19"/>
      <c r="F63" s="48"/>
      <c r="G63" s="63"/>
      <c r="H63" s="63"/>
      <c r="I63" s="22"/>
    </row>
    <row r="64" spans="2:9" x14ac:dyDescent="0.3">
      <c r="B64" s="47" t="s">
        <v>70</v>
      </c>
      <c r="C64" s="63" t="s">
        <v>71</v>
      </c>
      <c r="D64" s="63"/>
      <c r="E64" s="19">
        <v>1000000</v>
      </c>
      <c r="F64" s="48"/>
      <c r="G64" s="63"/>
      <c r="H64" s="63"/>
      <c r="I64" s="22"/>
    </row>
    <row r="65" spans="2:9" x14ac:dyDescent="0.3">
      <c r="B65" s="47" t="s">
        <v>72</v>
      </c>
      <c r="C65" s="63"/>
      <c r="D65" s="63"/>
      <c r="E65" s="19"/>
      <c r="F65" s="48"/>
      <c r="G65" s="63"/>
      <c r="H65" s="63"/>
      <c r="I65" s="22"/>
    </row>
    <row r="66" spans="2:9" x14ac:dyDescent="0.3">
      <c r="B66" s="68" t="s">
        <v>74</v>
      </c>
      <c r="C66" s="63" t="s">
        <v>443</v>
      </c>
      <c r="D66" s="63"/>
      <c r="E66" s="19">
        <v>0</v>
      </c>
      <c r="F66" s="48"/>
      <c r="G66" s="63"/>
      <c r="H66" s="63"/>
      <c r="I66" s="22"/>
    </row>
    <row r="67" spans="2:9" x14ac:dyDescent="0.3">
      <c r="B67" s="68"/>
      <c r="C67" s="63" t="s">
        <v>444</v>
      </c>
      <c r="D67" s="63"/>
      <c r="E67" s="19">
        <v>38720</v>
      </c>
      <c r="F67" s="48"/>
      <c r="G67" s="63"/>
      <c r="H67" s="63"/>
      <c r="I67" s="22"/>
    </row>
    <row r="68" spans="2:9" x14ac:dyDescent="0.3">
      <c r="B68" s="68"/>
      <c r="C68" s="63" t="s">
        <v>78</v>
      </c>
      <c r="D68" s="63"/>
      <c r="E68" s="19">
        <v>0</v>
      </c>
      <c r="F68" s="48"/>
      <c r="G68" s="63"/>
      <c r="H68" s="63"/>
      <c r="I68" s="22"/>
    </row>
    <row r="69" spans="2:9" x14ac:dyDescent="0.3">
      <c r="B69" s="68"/>
      <c r="C69" s="63" t="s">
        <v>445</v>
      </c>
      <c r="D69" s="63"/>
      <c r="E69" s="19">
        <v>5945</v>
      </c>
      <c r="F69" s="48"/>
      <c r="G69" s="63"/>
      <c r="H69" s="63"/>
      <c r="I69" s="22"/>
    </row>
    <row r="70" spans="2:9" x14ac:dyDescent="0.3">
      <c r="B70" s="68" t="s">
        <v>79</v>
      </c>
      <c r="C70" s="63" t="s">
        <v>446</v>
      </c>
      <c r="D70" s="63"/>
      <c r="E70" s="19">
        <v>2702374</v>
      </c>
      <c r="F70" s="48"/>
      <c r="G70" s="63"/>
      <c r="H70" s="63"/>
      <c r="I70" s="22"/>
    </row>
    <row r="71" spans="2:9" x14ac:dyDescent="0.3">
      <c r="B71" s="68"/>
      <c r="C71" s="63" t="s">
        <v>447</v>
      </c>
      <c r="D71" s="63"/>
      <c r="E71" s="19">
        <v>1156893</v>
      </c>
      <c r="F71" s="48"/>
      <c r="G71" s="63"/>
      <c r="H71" s="63"/>
      <c r="I71" s="22"/>
    </row>
    <row r="72" spans="2:9" x14ac:dyDescent="0.3">
      <c r="B72" s="68"/>
      <c r="C72" s="63" t="s">
        <v>80</v>
      </c>
      <c r="D72" s="63"/>
      <c r="E72" s="19">
        <v>1950200</v>
      </c>
      <c r="F72" s="48"/>
      <c r="G72" s="63"/>
      <c r="H72" s="63"/>
      <c r="I72" s="22"/>
    </row>
    <row r="73" spans="2:9" x14ac:dyDescent="0.3">
      <c r="B73" s="68"/>
      <c r="C73" s="63" t="s">
        <v>448</v>
      </c>
      <c r="D73" s="63"/>
      <c r="E73" s="19">
        <v>170250</v>
      </c>
      <c r="F73" s="48"/>
      <c r="G73" s="63"/>
      <c r="H73" s="63"/>
      <c r="I73" s="22"/>
    </row>
    <row r="74" spans="2:9" x14ac:dyDescent="0.3">
      <c r="B74" s="68"/>
      <c r="C74" s="63" t="s">
        <v>449</v>
      </c>
      <c r="D74" s="63"/>
      <c r="E74" s="19">
        <v>491311.95986152801</v>
      </c>
      <c r="F74" s="48"/>
      <c r="G74" s="63"/>
      <c r="H74" s="63"/>
      <c r="I74" s="22"/>
    </row>
    <row r="75" spans="2:9" x14ac:dyDescent="0.3">
      <c r="B75" s="68"/>
      <c r="C75" s="63" t="s">
        <v>450</v>
      </c>
      <c r="D75" s="63"/>
      <c r="E75" s="19">
        <v>302954.55181050958</v>
      </c>
      <c r="F75" s="48"/>
      <c r="G75" s="63"/>
      <c r="H75" s="63"/>
      <c r="I75" s="22"/>
    </row>
    <row r="76" spans="2:9" x14ac:dyDescent="0.3">
      <c r="B76" s="68"/>
      <c r="C76" s="63" t="s">
        <v>451</v>
      </c>
      <c r="D76" s="63"/>
      <c r="E76" s="19">
        <v>230532.45771932101</v>
      </c>
      <c r="F76" s="48"/>
      <c r="G76" s="63"/>
      <c r="H76" s="63"/>
      <c r="I76" s="22"/>
    </row>
    <row r="77" spans="2:9" x14ac:dyDescent="0.3">
      <c r="B77" s="68"/>
      <c r="C77" s="63" t="s">
        <v>448</v>
      </c>
      <c r="D77" s="63"/>
      <c r="E77" s="19">
        <v>170250</v>
      </c>
      <c r="F77" s="48"/>
      <c r="G77" s="63"/>
      <c r="H77" s="63"/>
      <c r="I77" s="22"/>
    </row>
    <row r="78" spans="2:9" x14ac:dyDescent="0.3">
      <c r="B78" s="68"/>
      <c r="C78" s="63" t="s">
        <v>452</v>
      </c>
      <c r="D78" s="63"/>
      <c r="E78" s="19">
        <v>7118</v>
      </c>
      <c r="F78" s="48"/>
      <c r="G78" s="63"/>
      <c r="H78" s="63"/>
      <c r="I78" s="22"/>
    </row>
    <row r="79" spans="2:9" x14ac:dyDescent="0.3">
      <c r="B79" s="68"/>
      <c r="C79" s="63" t="s">
        <v>84</v>
      </c>
      <c r="D79" s="63"/>
      <c r="E79" s="19">
        <v>502.54610000000002</v>
      </c>
      <c r="F79" s="48"/>
      <c r="G79" s="63"/>
      <c r="H79" s="63"/>
      <c r="I79" s="22"/>
    </row>
    <row r="80" spans="2:9" x14ac:dyDescent="0.3">
      <c r="B80" s="68"/>
      <c r="C80" s="63" t="s">
        <v>453</v>
      </c>
      <c r="D80" s="63"/>
      <c r="E80" s="19">
        <v>0</v>
      </c>
      <c r="F80" s="48"/>
      <c r="G80" s="63"/>
      <c r="H80" s="63"/>
      <c r="I80" s="22"/>
    </row>
    <row r="81" spans="2:9" x14ac:dyDescent="0.3">
      <c r="B81" s="68"/>
      <c r="C81" s="63" t="s">
        <v>454</v>
      </c>
      <c r="D81" s="63"/>
      <c r="E81" s="19">
        <v>2180772</v>
      </c>
      <c r="F81" s="48"/>
      <c r="G81" s="63"/>
      <c r="H81" s="63"/>
      <c r="I81" s="22"/>
    </row>
    <row r="82" spans="2:9" x14ac:dyDescent="0.3">
      <c r="B82" s="68"/>
      <c r="C82" s="63" t="s">
        <v>455</v>
      </c>
      <c r="D82" s="63"/>
      <c r="E82" s="19">
        <v>1155453.8015999999</v>
      </c>
      <c r="F82" s="48"/>
      <c r="G82" s="63"/>
      <c r="H82" s="63"/>
      <c r="I82" s="22"/>
    </row>
    <row r="83" spans="2:9" x14ac:dyDescent="0.3">
      <c r="B83" s="68"/>
      <c r="C83" s="63" t="s">
        <v>456</v>
      </c>
      <c r="D83" s="63"/>
      <c r="E83" s="19">
        <v>2</v>
      </c>
      <c r="F83" s="48"/>
      <c r="G83" s="63"/>
      <c r="H83" s="63"/>
      <c r="I83" s="22"/>
    </row>
    <row r="84" spans="2:9" x14ac:dyDescent="0.3">
      <c r="B84" s="68"/>
      <c r="C84" s="63" t="s">
        <v>456</v>
      </c>
      <c r="D84" s="63"/>
      <c r="E84" s="19">
        <v>2</v>
      </c>
      <c r="F84" s="48"/>
      <c r="G84" s="63"/>
      <c r="H84" s="63"/>
      <c r="I84" s="22"/>
    </row>
    <row r="85" spans="2:9" x14ac:dyDescent="0.3">
      <c r="B85" s="68"/>
      <c r="C85" s="63" t="s">
        <v>85</v>
      </c>
      <c r="D85" s="63"/>
      <c r="E85" s="19">
        <v>4</v>
      </c>
      <c r="F85" s="48"/>
      <c r="G85" s="63"/>
      <c r="H85" s="63"/>
      <c r="I85" s="22"/>
    </row>
    <row r="86" spans="2:9" x14ac:dyDescent="0.3">
      <c r="B86" s="68"/>
      <c r="C86" s="63" t="s">
        <v>457</v>
      </c>
      <c r="D86" s="63"/>
      <c r="E86" s="19">
        <v>24</v>
      </c>
      <c r="F86" s="48"/>
      <c r="G86" s="63"/>
      <c r="H86" s="63"/>
      <c r="I86" s="22"/>
    </row>
    <row r="87" spans="2:9" x14ac:dyDescent="0.3">
      <c r="B87" s="47" t="s">
        <v>88</v>
      </c>
      <c r="C87" s="63"/>
      <c r="D87" s="63"/>
      <c r="E87" s="19"/>
      <c r="F87" s="48"/>
      <c r="G87" s="63"/>
      <c r="H87" s="63"/>
      <c r="I87" s="22"/>
    </row>
    <row r="88" spans="2:9" x14ac:dyDescent="0.3">
      <c r="B88" s="47" t="s">
        <v>89</v>
      </c>
      <c r="C88" s="63"/>
      <c r="D88" s="63"/>
      <c r="E88" s="19"/>
      <c r="F88" s="48"/>
      <c r="G88" s="63"/>
      <c r="H88" s="63"/>
      <c r="I88" s="22"/>
    </row>
    <row r="89" spans="2:9" x14ac:dyDescent="0.3">
      <c r="B89" s="47" t="s">
        <v>90</v>
      </c>
      <c r="C89" s="63" t="s">
        <v>458</v>
      </c>
      <c r="D89" s="63"/>
      <c r="E89" s="19">
        <v>42000000</v>
      </c>
      <c r="F89" s="48"/>
      <c r="G89" s="63"/>
      <c r="H89" s="63"/>
      <c r="I89" s="22"/>
    </row>
    <row r="90" spans="2:9" x14ac:dyDescent="0.3">
      <c r="B90" s="68" t="s">
        <v>91</v>
      </c>
      <c r="C90" s="63" t="s">
        <v>459</v>
      </c>
      <c r="D90" s="63"/>
      <c r="E90" s="19">
        <v>0</v>
      </c>
      <c r="F90" s="48"/>
      <c r="G90" s="63"/>
      <c r="H90" s="63"/>
      <c r="I90" s="22"/>
    </row>
    <row r="91" spans="2:9" x14ac:dyDescent="0.3">
      <c r="B91" s="68"/>
      <c r="C91" s="63" t="s">
        <v>460</v>
      </c>
      <c r="D91" s="63"/>
      <c r="E91" s="19">
        <v>0</v>
      </c>
      <c r="F91" s="48"/>
      <c r="G91" s="63"/>
      <c r="H91" s="63"/>
      <c r="I91" s="22"/>
    </row>
    <row r="92" spans="2:9" x14ac:dyDescent="0.3">
      <c r="B92" s="68"/>
      <c r="C92" s="63" t="s">
        <v>461</v>
      </c>
      <c r="D92" s="63"/>
      <c r="E92" s="19">
        <v>0</v>
      </c>
      <c r="F92" s="48"/>
      <c r="G92" s="63"/>
      <c r="H92" s="63"/>
      <c r="I92" s="22"/>
    </row>
    <row r="93" spans="2:9" x14ac:dyDescent="0.3">
      <c r="B93" s="68"/>
      <c r="C93" s="63" t="s">
        <v>462</v>
      </c>
      <c r="D93" s="63"/>
      <c r="E93" s="19">
        <v>0</v>
      </c>
      <c r="F93" s="48"/>
      <c r="G93" s="63"/>
      <c r="H93" s="63"/>
      <c r="I93" s="22"/>
    </row>
    <row r="94" spans="2:9" x14ac:dyDescent="0.3">
      <c r="B94" s="47" t="s">
        <v>97</v>
      </c>
      <c r="C94" s="63"/>
      <c r="D94" s="63"/>
      <c r="E94" s="19"/>
      <c r="F94" s="48"/>
      <c r="G94" s="63"/>
      <c r="H94" s="63"/>
      <c r="I94" s="22"/>
    </row>
    <row r="95" spans="2:9" x14ac:dyDescent="0.3">
      <c r="B95" s="64" t="s">
        <v>100</v>
      </c>
      <c r="C95" s="64"/>
      <c r="D95" s="64"/>
      <c r="E95" s="23">
        <f>SUM(E46:E94)</f>
        <v>65063629.317091361</v>
      </c>
      <c r="F95" s="65" t="s">
        <v>101</v>
      </c>
      <c r="G95" s="65"/>
      <c r="H95" s="65"/>
      <c r="I95" s="24">
        <f>SUM(I46:I94)</f>
        <v>47471370</v>
      </c>
    </row>
    <row r="96" spans="2:9" x14ac:dyDescent="0.3">
      <c r="B96" s="66" t="s">
        <v>102</v>
      </c>
      <c r="C96" s="66"/>
      <c r="D96" s="66"/>
      <c r="E96" s="66"/>
      <c r="F96" s="66"/>
      <c r="G96" s="66"/>
      <c r="H96" s="66"/>
      <c r="I96" s="66"/>
    </row>
    <row r="97" spans="2:10" ht="17.25" thickBot="1" x14ac:dyDescent="0.35">
      <c r="B97" s="67">
        <f>E95-I95</f>
        <v>17592259.317091361</v>
      </c>
      <c r="C97" s="67"/>
      <c r="D97" s="67"/>
      <c r="E97" s="67"/>
      <c r="F97" s="67"/>
      <c r="G97" s="67"/>
      <c r="H97" s="67"/>
      <c r="I97" s="67"/>
    </row>
    <row r="100" spans="2:10" ht="20.25" x14ac:dyDescent="0.3">
      <c r="B100" s="1" t="s">
        <v>103</v>
      </c>
    </row>
    <row r="101" spans="2:10" ht="17.25" thickBot="1" x14ac:dyDescent="0.35">
      <c r="B101" t="s">
        <v>104</v>
      </c>
    </row>
    <row r="102" spans="2:10" x14ac:dyDescent="0.3">
      <c r="B102" s="25" t="s">
        <v>105</v>
      </c>
      <c r="C102" s="62" t="s">
        <v>106</v>
      </c>
      <c r="D102" s="62"/>
      <c r="E102" s="49" t="s">
        <v>107</v>
      </c>
      <c r="F102" s="49" t="s">
        <v>108</v>
      </c>
      <c r="G102" s="49" t="s">
        <v>109</v>
      </c>
      <c r="H102" s="49" t="s">
        <v>110</v>
      </c>
    </row>
    <row r="103" spans="2:10" x14ac:dyDescent="0.3">
      <c r="B103" s="27" t="s">
        <v>113</v>
      </c>
      <c r="C103" s="59" t="s">
        <v>459</v>
      </c>
      <c r="D103" s="59"/>
      <c r="E103" s="29" t="s">
        <v>112</v>
      </c>
      <c r="F103" s="30">
        <v>0</v>
      </c>
      <c r="G103" s="31">
        <v>39472</v>
      </c>
      <c r="H103" s="31">
        <v>69058</v>
      </c>
    </row>
    <row r="104" spans="2:10" x14ac:dyDescent="0.3">
      <c r="B104" s="27" t="s">
        <v>113</v>
      </c>
      <c r="C104" s="59" t="s">
        <v>460</v>
      </c>
      <c r="D104" s="59"/>
      <c r="E104" s="29" t="s">
        <v>112</v>
      </c>
      <c r="F104" s="30">
        <v>0</v>
      </c>
      <c r="G104" s="31">
        <v>40966</v>
      </c>
      <c r="H104" s="31">
        <v>69456</v>
      </c>
    </row>
    <row r="105" spans="2:10" x14ac:dyDescent="0.3">
      <c r="B105" s="27" t="s">
        <v>463</v>
      </c>
      <c r="C105" s="59" t="s">
        <v>461</v>
      </c>
      <c r="D105" s="59"/>
      <c r="E105" s="29" t="s">
        <v>112</v>
      </c>
      <c r="F105" s="30">
        <v>989004166</v>
      </c>
      <c r="G105" s="31">
        <v>45189</v>
      </c>
      <c r="H105" s="31">
        <v>56336</v>
      </c>
    </row>
    <row r="106" spans="2:10" x14ac:dyDescent="0.3">
      <c r="B106" s="27" t="s">
        <v>463</v>
      </c>
      <c r="C106" s="59" t="s">
        <v>462</v>
      </c>
      <c r="D106" s="59"/>
      <c r="E106" s="29" t="s">
        <v>112</v>
      </c>
      <c r="F106" s="30">
        <v>203500000</v>
      </c>
      <c r="G106" s="31">
        <v>45189</v>
      </c>
      <c r="H106" s="31">
        <v>46474</v>
      </c>
    </row>
    <row r="107" spans="2:10" ht="17.25" thickBot="1" x14ac:dyDescent="0.35">
      <c r="B107" s="61" t="s">
        <v>13</v>
      </c>
      <c r="C107" s="56" t="s">
        <v>114</v>
      </c>
      <c r="D107" s="56"/>
      <c r="E107" s="51" t="s">
        <v>464</v>
      </c>
      <c r="F107" s="51" t="s">
        <v>116</v>
      </c>
      <c r="G107" s="51"/>
      <c r="H107" s="33"/>
    </row>
    <row r="108" spans="2:10" ht="17.25" thickBot="1" x14ac:dyDescent="0.35">
      <c r="B108" s="61"/>
      <c r="C108" s="57" t="s">
        <v>465</v>
      </c>
      <c r="D108" s="57"/>
      <c r="E108" s="52" t="s">
        <v>118</v>
      </c>
      <c r="F108" s="54">
        <f>SUM(F103:F106)</f>
        <v>1192504166</v>
      </c>
      <c r="G108" s="52"/>
      <c r="H108" s="36"/>
    </row>
    <row r="110" spans="2:10" ht="20.25" x14ac:dyDescent="0.3">
      <c r="B110" s="1" t="s">
        <v>119</v>
      </c>
    </row>
    <row r="111" spans="2:10" ht="17.25" thickBot="1" x14ac:dyDescent="0.35">
      <c r="B111" t="s">
        <v>120</v>
      </c>
    </row>
    <row r="112" spans="2:10" x14ac:dyDescent="0.3">
      <c r="B112" s="25" t="s">
        <v>121</v>
      </c>
      <c r="C112" s="49" t="s">
        <v>105</v>
      </c>
      <c r="D112" s="62" t="s">
        <v>57</v>
      </c>
      <c r="E112" s="62"/>
      <c r="F112" s="49" t="s">
        <v>122</v>
      </c>
      <c r="G112" s="49" t="s">
        <v>123</v>
      </c>
      <c r="H112" s="49" t="s">
        <v>124</v>
      </c>
      <c r="I112" s="49" t="s">
        <v>125</v>
      </c>
      <c r="J112" s="49" t="s">
        <v>110</v>
      </c>
    </row>
    <row r="113" spans="2:10" x14ac:dyDescent="0.3">
      <c r="B113" s="27" t="s">
        <v>466</v>
      </c>
      <c r="C113" s="50" t="s">
        <v>467</v>
      </c>
      <c r="D113" s="59" t="s">
        <v>446</v>
      </c>
      <c r="E113" s="59"/>
      <c r="F113" s="30">
        <v>1946016</v>
      </c>
      <c r="G113" s="30">
        <v>2702374</v>
      </c>
      <c r="H113" s="37">
        <v>38.866998010293848</v>
      </c>
      <c r="I113" s="31"/>
      <c r="J113" s="31"/>
    </row>
    <row r="114" spans="2:10" x14ac:dyDescent="0.3">
      <c r="B114" s="27" t="s">
        <v>466</v>
      </c>
      <c r="C114" s="50" t="s">
        <v>467</v>
      </c>
      <c r="D114" s="59" t="s">
        <v>447</v>
      </c>
      <c r="E114" s="59"/>
      <c r="F114" s="30">
        <v>1000001</v>
      </c>
      <c r="G114" s="30">
        <v>1156893</v>
      </c>
      <c r="H114" s="37">
        <v>15.689184310815691</v>
      </c>
      <c r="I114" s="31"/>
      <c r="J114" s="31"/>
    </row>
    <row r="115" spans="2:10" x14ac:dyDescent="0.3">
      <c r="B115" s="27" t="s">
        <v>126</v>
      </c>
      <c r="C115" s="50" t="s">
        <v>467</v>
      </c>
      <c r="D115" s="59" t="s">
        <v>80</v>
      </c>
      <c r="E115" s="59"/>
      <c r="F115" s="30">
        <v>1831849</v>
      </c>
      <c r="G115" s="30">
        <v>1950200</v>
      </c>
      <c r="H115" s="37">
        <v>6.4607399409012416</v>
      </c>
      <c r="I115" s="31"/>
      <c r="J115" s="31"/>
    </row>
    <row r="116" spans="2:10" x14ac:dyDescent="0.3">
      <c r="B116" s="27" t="s">
        <v>126</v>
      </c>
      <c r="C116" s="50" t="s">
        <v>467</v>
      </c>
      <c r="D116" s="59" t="s">
        <v>448</v>
      </c>
      <c r="E116" s="59"/>
      <c r="F116" s="30">
        <v>143500</v>
      </c>
      <c r="G116" s="30">
        <v>170250</v>
      </c>
      <c r="H116" s="37">
        <v>18.641114982578401</v>
      </c>
      <c r="I116" s="31"/>
      <c r="J116" s="31"/>
    </row>
    <row r="117" spans="2:10" x14ac:dyDescent="0.3">
      <c r="B117" s="27" t="s">
        <v>126</v>
      </c>
      <c r="C117" s="50" t="s">
        <v>468</v>
      </c>
      <c r="D117" s="59" t="s">
        <v>449</v>
      </c>
      <c r="E117" s="59"/>
      <c r="F117" s="30">
        <v>1064609</v>
      </c>
      <c r="G117" s="30">
        <v>491311.95986152801</v>
      </c>
      <c r="H117" s="37">
        <v>-53.850478451569742</v>
      </c>
      <c r="I117" s="31"/>
      <c r="J117" s="31"/>
    </row>
    <row r="118" spans="2:10" x14ac:dyDescent="0.3">
      <c r="B118" s="27" t="s">
        <v>126</v>
      </c>
      <c r="C118" s="50" t="s">
        <v>468</v>
      </c>
      <c r="D118" s="59" t="s">
        <v>450</v>
      </c>
      <c r="E118" s="59"/>
      <c r="F118" s="30">
        <v>297847</v>
      </c>
      <c r="G118" s="30">
        <v>302954.55181050958</v>
      </c>
      <c r="H118" s="37">
        <v>1.714823990340538</v>
      </c>
      <c r="I118" s="31"/>
      <c r="J118" s="31"/>
    </row>
    <row r="119" spans="2:10" x14ac:dyDescent="0.3">
      <c r="B119" s="27" t="s">
        <v>126</v>
      </c>
      <c r="C119" s="50" t="s">
        <v>468</v>
      </c>
      <c r="D119" s="59" t="s">
        <v>451</v>
      </c>
      <c r="E119" s="59"/>
      <c r="F119" s="30">
        <v>296496</v>
      </c>
      <c r="G119" s="30">
        <v>230532.45771932101</v>
      </c>
      <c r="H119" s="37">
        <v>-22.247700569545291</v>
      </c>
      <c r="I119" s="31"/>
      <c r="J119" s="31"/>
    </row>
    <row r="120" spans="2:10" x14ac:dyDescent="0.3">
      <c r="B120" s="27" t="s">
        <v>126</v>
      </c>
      <c r="C120" s="50" t="s">
        <v>468</v>
      </c>
      <c r="D120" s="59" t="s">
        <v>448</v>
      </c>
      <c r="E120" s="59"/>
      <c r="F120" s="30">
        <v>296500</v>
      </c>
      <c r="G120" s="30">
        <v>170250</v>
      </c>
      <c r="H120" s="37">
        <v>-42.580101180438447</v>
      </c>
      <c r="I120" s="31"/>
      <c r="J120" s="31"/>
    </row>
    <row r="121" spans="2:10" ht="17.25" thickBot="1" x14ac:dyDescent="0.35">
      <c r="B121" s="55" t="s">
        <v>13</v>
      </c>
      <c r="C121" s="51"/>
      <c r="D121" s="56" t="s">
        <v>128</v>
      </c>
      <c r="E121" s="56"/>
      <c r="F121" s="51" t="s">
        <v>129</v>
      </c>
      <c r="G121" s="51" t="s">
        <v>130</v>
      </c>
      <c r="H121" s="51" t="s">
        <v>131</v>
      </c>
      <c r="I121" s="51"/>
      <c r="J121" s="33"/>
    </row>
    <row r="122" spans="2:10" ht="17.25" thickBot="1" x14ac:dyDescent="0.35">
      <c r="B122" s="55"/>
      <c r="C122" s="52"/>
      <c r="D122" s="57" t="s">
        <v>469</v>
      </c>
      <c r="E122" s="57"/>
      <c r="F122" s="54">
        <f>SUM(F113:F120)</f>
        <v>6876818</v>
      </c>
      <c r="G122" s="54">
        <f>SUM(G113:G120)</f>
        <v>7174765.969391359</v>
      </c>
      <c r="H122" s="38">
        <f>(SUM(G113:G120) - SUM(F113:F120)) * 100 / IF(SUM(F113:F120), SUM(F113:F120), 1)</f>
        <v>4.332642937349207</v>
      </c>
      <c r="I122" s="52"/>
      <c r="J122" s="36"/>
    </row>
    <row r="124" spans="2:10" ht="20.25" x14ac:dyDescent="0.3">
      <c r="B124" s="1" t="s">
        <v>133</v>
      </c>
    </row>
    <row r="125" spans="2:10" ht="17.25" thickBot="1" x14ac:dyDescent="0.35">
      <c r="B125" t="s">
        <v>134</v>
      </c>
    </row>
    <row r="126" spans="2:10" x14ac:dyDescent="0.3">
      <c r="B126" s="39" t="s">
        <v>135</v>
      </c>
      <c r="C126" s="53" t="s">
        <v>105</v>
      </c>
      <c r="D126" s="58" t="s">
        <v>57</v>
      </c>
      <c r="E126" s="58"/>
      <c r="F126" s="53" t="s">
        <v>136</v>
      </c>
      <c r="G126" s="53" t="s">
        <v>137</v>
      </c>
      <c r="H126" s="53" t="s">
        <v>138</v>
      </c>
      <c r="I126" s="53" t="s">
        <v>139</v>
      </c>
      <c r="J126" s="53" t="s">
        <v>140</v>
      </c>
    </row>
    <row r="127" spans="2:10" x14ac:dyDescent="0.3">
      <c r="B127" s="27" t="s">
        <v>141</v>
      </c>
      <c r="C127" s="50" t="s">
        <v>470</v>
      </c>
      <c r="D127" s="59" t="s">
        <v>433</v>
      </c>
      <c r="E127" s="59"/>
      <c r="F127" s="30">
        <v>0</v>
      </c>
      <c r="G127" s="30">
        <v>47471370</v>
      </c>
      <c r="H127" s="50"/>
      <c r="I127" s="31">
        <v>44505</v>
      </c>
      <c r="J127" s="31">
        <v>44505</v>
      </c>
    </row>
    <row r="128" spans="2:10" x14ac:dyDescent="0.3">
      <c r="B128" s="27" t="s">
        <v>141</v>
      </c>
      <c r="C128" s="50" t="s">
        <v>471</v>
      </c>
      <c r="D128" s="59" t="s">
        <v>434</v>
      </c>
      <c r="E128" s="59"/>
      <c r="F128" s="30">
        <v>40000000</v>
      </c>
      <c r="G128" s="30">
        <v>0</v>
      </c>
      <c r="H128" s="50">
        <v>4.87</v>
      </c>
      <c r="I128" s="31">
        <v>43889</v>
      </c>
      <c r="J128" s="31">
        <v>46450</v>
      </c>
    </row>
    <row r="129" spans="2:10" ht="17.25" thickBot="1" x14ac:dyDescent="0.35">
      <c r="B129" s="55" t="s">
        <v>13</v>
      </c>
      <c r="C129" s="51"/>
      <c r="D129" s="56" t="s">
        <v>143</v>
      </c>
      <c r="E129" s="56"/>
      <c r="F129" s="51" t="s">
        <v>144</v>
      </c>
      <c r="G129" s="51" t="s">
        <v>145</v>
      </c>
      <c r="H129" s="51"/>
      <c r="I129" s="51"/>
      <c r="J129" s="33"/>
    </row>
    <row r="130" spans="2:10" ht="17.25" thickBot="1" x14ac:dyDescent="0.35">
      <c r="B130" s="55"/>
      <c r="C130" s="52"/>
      <c r="D130" s="60">
        <f>SUM(2)</f>
        <v>2</v>
      </c>
      <c r="E130" s="60"/>
      <c r="F130" s="54">
        <f>SUM(F127:F128)</f>
        <v>40000000</v>
      </c>
      <c r="G130" s="54">
        <f>SUM(G127:G128)</f>
        <v>47471370</v>
      </c>
      <c r="H130" s="52"/>
      <c r="I130" s="52"/>
      <c r="J130" s="36"/>
    </row>
  </sheetData>
  <mergeCells count="139">
    <mergeCell ref="B129:B130"/>
    <mergeCell ref="D129:E129"/>
    <mergeCell ref="D130:E130"/>
    <mergeCell ref="B121:B122"/>
    <mergeCell ref="D121:E121"/>
    <mergeCell ref="D122:E122"/>
    <mergeCell ref="D126:E126"/>
    <mergeCell ref="D127:E127"/>
    <mergeCell ref="D128:E128"/>
    <mergeCell ref="D115:E115"/>
    <mergeCell ref="D116:E116"/>
    <mergeCell ref="D117:E117"/>
    <mergeCell ref="D118:E118"/>
    <mergeCell ref="D119:E119"/>
    <mergeCell ref="D120:E120"/>
    <mergeCell ref="B107:B108"/>
    <mergeCell ref="C107:D107"/>
    <mergeCell ref="C108:D108"/>
    <mergeCell ref="D112:E112"/>
    <mergeCell ref="D113:E113"/>
    <mergeCell ref="D114:E114"/>
    <mergeCell ref="B97:I97"/>
    <mergeCell ref="C102:D102"/>
    <mergeCell ref="C103:D103"/>
    <mergeCell ref="C104:D104"/>
    <mergeCell ref="C105:D105"/>
    <mergeCell ref="C106:D106"/>
    <mergeCell ref="G93:H93"/>
    <mergeCell ref="C94:D94"/>
    <mergeCell ref="G94:H94"/>
    <mergeCell ref="B95:D95"/>
    <mergeCell ref="F95:H95"/>
    <mergeCell ref="B96:I96"/>
    <mergeCell ref="C89:D89"/>
    <mergeCell ref="G89:H89"/>
    <mergeCell ref="B90:B93"/>
    <mergeCell ref="C90:D90"/>
    <mergeCell ref="G90:H90"/>
    <mergeCell ref="C91:D91"/>
    <mergeCell ref="G91:H91"/>
    <mergeCell ref="C92:D92"/>
    <mergeCell ref="G92:H92"/>
    <mergeCell ref="C93:D93"/>
    <mergeCell ref="C86:D86"/>
    <mergeCell ref="G86:H86"/>
    <mergeCell ref="C87:D87"/>
    <mergeCell ref="G87:H87"/>
    <mergeCell ref="C88:D88"/>
    <mergeCell ref="G88:H88"/>
    <mergeCell ref="C83:D83"/>
    <mergeCell ref="G83:H83"/>
    <mergeCell ref="C84:D84"/>
    <mergeCell ref="G84:H84"/>
    <mergeCell ref="C85:D85"/>
    <mergeCell ref="G85:H85"/>
    <mergeCell ref="C80:D80"/>
    <mergeCell ref="G80:H80"/>
    <mergeCell ref="C81:D81"/>
    <mergeCell ref="G81:H81"/>
    <mergeCell ref="C82:D82"/>
    <mergeCell ref="G82:H82"/>
    <mergeCell ref="C77:D77"/>
    <mergeCell ref="G77:H77"/>
    <mergeCell ref="C78:D78"/>
    <mergeCell ref="G78:H78"/>
    <mergeCell ref="C79:D79"/>
    <mergeCell ref="G79:H79"/>
    <mergeCell ref="C74:D74"/>
    <mergeCell ref="G74:H74"/>
    <mergeCell ref="C75:D75"/>
    <mergeCell ref="G75:H75"/>
    <mergeCell ref="C76:D76"/>
    <mergeCell ref="G76:H76"/>
    <mergeCell ref="G69:H69"/>
    <mergeCell ref="B70:B86"/>
    <mergeCell ref="C70:D70"/>
    <mergeCell ref="G70:H70"/>
    <mergeCell ref="C71:D71"/>
    <mergeCell ref="G71:H71"/>
    <mergeCell ref="C72:D72"/>
    <mergeCell ref="G72:H72"/>
    <mergeCell ref="C73:D73"/>
    <mergeCell ref="G73:H73"/>
    <mergeCell ref="C65:D65"/>
    <mergeCell ref="G65:H65"/>
    <mergeCell ref="B66:B69"/>
    <mergeCell ref="C66:D66"/>
    <mergeCell ref="G66:H66"/>
    <mergeCell ref="C67:D67"/>
    <mergeCell ref="G67:H67"/>
    <mergeCell ref="C68:D68"/>
    <mergeCell ref="G68:H68"/>
    <mergeCell ref="C69:D69"/>
    <mergeCell ref="C62:D62"/>
    <mergeCell ref="G62:H62"/>
    <mergeCell ref="C63:D63"/>
    <mergeCell ref="G63:H63"/>
    <mergeCell ref="C64:D64"/>
    <mergeCell ref="G64:H64"/>
    <mergeCell ref="C59:D59"/>
    <mergeCell ref="G59:H59"/>
    <mergeCell ref="C60:D60"/>
    <mergeCell ref="G60:H60"/>
    <mergeCell ref="C61:D61"/>
    <mergeCell ref="G61:H61"/>
    <mergeCell ref="C56:D56"/>
    <mergeCell ref="G56:H56"/>
    <mergeCell ref="C57:D57"/>
    <mergeCell ref="G57:H57"/>
    <mergeCell ref="C58:D58"/>
    <mergeCell ref="G58:H58"/>
    <mergeCell ref="C53:D53"/>
    <mergeCell ref="G53:H53"/>
    <mergeCell ref="C54:D54"/>
    <mergeCell ref="G54:H54"/>
    <mergeCell ref="C55:D55"/>
    <mergeCell ref="G55:H55"/>
    <mergeCell ref="C50:D50"/>
    <mergeCell ref="G50:H50"/>
    <mergeCell ref="C51:D51"/>
    <mergeCell ref="G51:H51"/>
    <mergeCell ref="C52:D52"/>
    <mergeCell ref="G52:H52"/>
    <mergeCell ref="B46:B62"/>
    <mergeCell ref="C46:D46"/>
    <mergeCell ref="F46:F47"/>
    <mergeCell ref="G46:H46"/>
    <mergeCell ref="C47:D47"/>
    <mergeCell ref="G47:H47"/>
    <mergeCell ref="C48:D48"/>
    <mergeCell ref="G48:H48"/>
    <mergeCell ref="C49:D49"/>
    <mergeCell ref="G49:H49"/>
    <mergeCell ref="F5:G5"/>
    <mergeCell ref="F6:G6"/>
    <mergeCell ref="B44:E44"/>
    <mergeCell ref="F44:I44"/>
    <mergeCell ref="C45:D45"/>
    <mergeCell ref="G45:H45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Q106"/>
  <sheetViews>
    <sheetView tabSelected="1" topLeftCell="A82" workbookViewId="0"/>
  </sheetViews>
  <sheetFormatPr defaultRowHeight="16.5" x14ac:dyDescent="0.3"/>
  <cols>
    <col min="1" max="1" width="2.75" customWidth="1"/>
    <col min="2" max="18" width="16.75" customWidth="1"/>
  </cols>
  <sheetData>
    <row r="3" spans="2:17" ht="20.25" x14ac:dyDescent="0.3">
      <c r="B3" s="1" t="s">
        <v>0</v>
      </c>
    </row>
    <row r="4" spans="2:17" x14ac:dyDescent="0.3">
      <c r="B4" t="s">
        <v>1</v>
      </c>
    </row>
    <row r="5" spans="2:17" x14ac:dyDescent="0.3">
      <c r="B5" s="2" t="s">
        <v>2</v>
      </c>
      <c r="C5" s="3" t="s">
        <v>3</v>
      </c>
      <c r="D5" s="3" t="s">
        <v>4</v>
      </c>
      <c r="E5" s="3" t="s">
        <v>5</v>
      </c>
      <c r="F5" s="69" t="s">
        <v>6</v>
      </c>
      <c r="G5" s="69"/>
    </row>
    <row r="6" spans="2:17" x14ac:dyDescent="0.3">
      <c r="B6" s="4" t="s">
        <v>7</v>
      </c>
      <c r="C6" s="5" t="s">
        <v>8</v>
      </c>
      <c r="D6" s="5">
        <v>33</v>
      </c>
      <c r="E6" s="5">
        <v>969</v>
      </c>
      <c r="F6" s="70" t="s">
        <v>9</v>
      </c>
      <c r="G6" s="70"/>
    </row>
    <row r="9" spans="2:17" ht="20.25" x14ac:dyDescent="0.3">
      <c r="B9" s="1" t="s">
        <v>10</v>
      </c>
    </row>
    <row r="10" spans="2:17" x14ac:dyDescent="0.3">
      <c r="B10" t="s">
        <v>11</v>
      </c>
    </row>
    <row r="11" spans="2:17" x14ac:dyDescent="0.3">
      <c r="B11" s="6" t="s">
        <v>12</v>
      </c>
      <c r="C11" s="7" t="s">
        <v>13</v>
      </c>
      <c r="D11" s="7" t="s">
        <v>14</v>
      </c>
      <c r="E11" s="8" t="s">
        <v>15</v>
      </c>
      <c r="F11" s="8" t="s">
        <v>16</v>
      </c>
      <c r="G11" s="8" t="s">
        <v>17</v>
      </c>
      <c r="H11" s="8" t="s">
        <v>18</v>
      </c>
      <c r="I11" s="8" t="s">
        <v>19</v>
      </c>
      <c r="J11" s="8" t="s">
        <v>20</v>
      </c>
      <c r="K11" s="8" t="s">
        <v>21</v>
      </c>
      <c r="L11" s="8" t="s">
        <v>22</v>
      </c>
      <c r="M11" s="8" t="s">
        <v>23</v>
      </c>
      <c r="N11" s="8" t="s">
        <v>24</v>
      </c>
      <c r="O11" s="8" t="s">
        <v>25</v>
      </c>
      <c r="P11" s="8" t="s">
        <v>26</v>
      </c>
      <c r="Q11" s="8" t="s">
        <v>27</v>
      </c>
    </row>
    <row r="12" spans="2:17" x14ac:dyDescent="0.3">
      <c r="B12" s="9" t="s">
        <v>28</v>
      </c>
      <c r="C12" s="10">
        <f t="shared" ref="C12:C36" si="0">SUM(E12:Q12)</f>
        <v>345056</v>
      </c>
      <c r="D12" s="10">
        <f t="shared" ref="D12:D36" si="1">C12/13</f>
        <v>26542.76923076923</v>
      </c>
      <c r="E12" s="10">
        <v>61173</v>
      </c>
      <c r="F12" s="10">
        <v>23178</v>
      </c>
      <c r="G12" s="10">
        <v>19906</v>
      </c>
      <c r="H12" s="10">
        <v>21467</v>
      </c>
      <c r="I12" s="10">
        <v>21052</v>
      </c>
      <c r="J12" s="10">
        <v>22866</v>
      </c>
      <c r="K12" s="10">
        <v>17789</v>
      </c>
      <c r="L12" s="10">
        <v>19404</v>
      </c>
      <c r="M12" s="10">
        <v>14884</v>
      </c>
      <c r="N12" s="10">
        <v>21070</v>
      </c>
      <c r="O12" s="10">
        <v>39017</v>
      </c>
      <c r="P12" s="10">
        <v>36010</v>
      </c>
      <c r="Q12" s="10">
        <v>27240</v>
      </c>
    </row>
    <row r="13" spans="2:17" x14ac:dyDescent="0.3">
      <c r="B13" s="9" t="s">
        <v>29</v>
      </c>
      <c r="C13" s="10">
        <f t="shared" si="0"/>
        <v>612784330</v>
      </c>
      <c r="D13" s="10">
        <f t="shared" si="1"/>
        <v>47137256.153846152</v>
      </c>
      <c r="E13" s="10">
        <v>5130720</v>
      </c>
      <c r="F13" s="10">
        <v>5147460</v>
      </c>
      <c r="G13" s="10">
        <v>5130720</v>
      </c>
      <c r="H13" s="10">
        <v>5139720</v>
      </c>
      <c r="I13" s="10">
        <v>5130720</v>
      </c>
      <c r="J13" s="10">
        <v>5180720</v>
      </c>
      <c r="K13" s="10">
        <v>5373300</v>
      </c>
      <c r="L13" s="10">
        <v>7530480</v>
      </c>
      <c r="M13" s="10">
        <v>13318090</v>
      </c>
      <c r="N13" s="10">
        <v>58841800</v>
      </c>
      <c r="O13" s="10">
        <v>5074260</v>
      </c>
      <c r="P13" s="10">
        <v>491786340</v>
      </c>
      <c r="Q13" s="10">
        <v>0</v>
      </c>
    </row>
    <row r="14" spans="2:17" x14ac:dyDescent="0.3">
      <c r="B14" s="9" t="s">
        <v>30</v>
      </c>
      <c r="C14" s="10">
        <f t="shared" si="0"/>
        <v>2</v>
      </c>
      <c r="D14" s="10">
        <f t="shared" si="1"/>
        <v>0.15384615384615385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1</v>
      </c>
      <c r="K14" s="10">
        <v>0</v>
      </c>
      <c r="L14" s="10">
        <v>0</v>
      </c>
      <c r="M14" s="10">
        <v>0</v>
      </c>
      <c r="N14" s="10">
        <v>0</v>
      </c>
      <c r="O14" s="10">
        <v>0</v>
      </c>
      <c r="P14" s="10">
        <v>1</v>
      </c>
      <c r="Q14" s="10">
        <v>0</v>
      </c>
    </row>
    <row r="15" spans="2:17" x14ac:dyDescent="0.3">
      <c r="B15" s="9" t="s">
        <v>31</v>
      </c>
      <c r="C15" s="10">
        <f t="shared" si="0"/>
        <v>80870330</v>
      </c>
      <c r="D15" s="10">
        <f t="shared" si="1"/>
        <v>6220794.615384615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80870330</v>
      </c>
      <c r="P15" s="10">
        <v>0</v>
      </c>
      <c r="Q15" s="10">
        <v>0</v>
      </c>
    </row>
    <row r="16" spans="2:17" x14ac:dyDescent="0.3">
      <c r="B16" s="9" t="s">
        <v>32</v>
      </c>
      <c r="C16" s="10">
        <f t="shared" si="0"/>
        <v>4103562</v>
      </c>
      <c r="D16" s="10">
        <f t="shared" si="1"/>
        <v>315658.61538461538</v>
      </c>
      <c r="E16" s="10">
        <v>0</v>
      </c>
      <c r="F16" s="10">
        <v>407500</v>
      </c>
      <c r="G16" s="10">
        <v>325200</v>
      </c>
      <c r="H16" s="10">
        <v>337900</v>
      </c>
      <c r="I16" s="10">
        <v>30400</v>
      </c>
      <c r="J16" s="10">
        <v>182100</v>
      </c>
      <c r="K16" s="10">
        <v>668350</v>
      </c>
      <c r="L16" s="10">
        <v>300170</v>
      </c>
      <c r="M16" s="10">
        <v>392820</v>
      </c>
      <c r="N16" s="10">
        <v>137250</v>
      </c>
      <c r="O16" s="10">
        <v>540300</v>
      </c>
      <c r="P16" s="10">
        <v>60301</v>
      </c>
      <c r="Q16" s="10">
        <v>721271</v>
      </c>
    </row>
    <row r="17" spans="2:17" x14ac:dyDescent="0.3">
      <c r="B17" s="11" t="s">
        <v>33</v>
      </c>
      <c r="C17" s="12">
        <f t="shared" si="0"/>
        <v>698103280</v>
      </c>
      <c r="D17" s="12">
        <f t="shared" si="1"/>
        <v>53700252.307692304</v>
      </c>
      <c r="E17" s="12">
        <f t="shared" ref="E17:Q17" si="2">SUM(E12:E16)</f>
        <v>5191893</v>
      </c>
      <c r="F17" s="12">
        <f t="shared" si="2"/>
        <v>5578138</v>
      </c>
      <c r="G17" s="12">
        <f t="shared" si="2"/>
        <v>5475826</v>
      </c>
      <c r="H17" s="12">
        <f t="shared" si="2"/>
        <v>5499087</v>
      </c>
      <c r="I17" s="12">
        <f t="shared" si="2"/>
        <v>5182172</v>
      </c>
      <c r="J17" s="12">
        <f t="shared" si="2"/>
        <v>5385687</v>
      </c>
      <c r="K17" s="12">
        <f t="shared" si="2"/>
        <v>6059439</v>
      </c>
      <c r="L17" s="12">
        <f t="shared" si="2"/>
        <v>7850054</v>
      </c>
      <c r="M17" s="12">
        <f t="shared" si="2"/>
        <v>13725794</v>
      </c>
      <c r="N17" s="12">
        <f t="shared" si="2"/>
        <v>59000120</v>
      </c>
      <c r="O17" s="12">
        <f t="shared" si="2"/>
        <v>86523907</v>
      </c>
      <c r="P17" s="12">
        <f t="shared" si="2"/>
        <v>491882652</v>
      </c>
      <c r="Q17" s="12">
        <f t="shared" si="2"/>
        <v>748511</v>
      </c>
    </row>
    <row r="18" spans="2:17" x14ac:dyDescent="0.3">
      <c r="B18" s="9" t="s">
        <v>34</v>
      </c>
      <c r="C18" s="10">
        <f t="shared" si="0"/>
        <v>36600</v>
      </c>
      <c r="D18" s="10">
        <f t="shared" si="1"/>
        <v>2815.3846153846152</v>
      </c>
      <c r="E18" s="10">
        <v>0</v>
      </c>
      <c r="F18" s="10">
        <v>0</v>
      </c>
      <c r="G18" s="10">
        <v>0</v>
      </c>
      <c r="H18" s="10">
        <v>10600</v>
      </c>
      <c r="I18" s="10">
        <v>0</v>
      </c>
      <c r="J18" s="10">
        <v>0</v>
      </c>
      <c r="K18" s="10">
        <v>6000</v>
      </c>
      <c r="L18" s="10">
        <v>20000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</row>
    <row r="19" spans="2:17" x14ac:dyDescent="0.3">
      <c r="B19" s="9" t="s">
        <v>35</v>
      </c>
      <c r="C19" s="10">
        <f t="shared" si="0"/>
        <v>235000</v>
      </c>
      <c r="D19" s="10">
        <f t="shared" si="1"/>
        <v>18076.923076923078</v>
      </c>
      <c r="E19" s="10">
        <v>0</v>
      </c>
      <c r="F19" s="10">
        <v>28000</v>
      </c>
      <c r="G19" s="10">
        <v>0</v>
      </c>
      <c r="H19" s="10">
        <v>0</v>
      </c>
      <c r="I19" s="10">
        <v>157000</v>
      </c>
      <c r="J19" s="10">
        <v>0</v>
      </c>
      <c r="K19" s="10">
        <v>50000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</row>
    <row r="20" spans="2:17" x14ac:dyDescent="0.3">
      <c r="B20" s="9" t="s">
        <v>36</v>
      </c>
      <c r="C20" s="10">
        <f t="shared" si="0"/>
        <v>2205990</v>
      </c>
      <c r="D20" s="10">
        <f t="shared" si="1"/>
        <v>169691.53846153847</v>
      </c>
      <c r="E20" s="10">
        <v>37800</v>
      </c>
      <c r="F20" s="10">
        <v>203100</v>
      </c>
      <c r="G20" s="10">
        <v>234190</v>
      </c>
      <c r="H20" s="10">
        <v>182400</v>
      </c>
      <c r="I20" s="10">
        <v>183350</v>
      </c>
      <c r="J20" s="10">
        <v>158980</v>
      </c>
      <c r="K20" s="10">
        <v>247200</v>
      </c>
      <c r="L20" s="10">
        <v>51800</v>
      </c>
      <c r="M20" s="10">
        <v>206050</v>
      </c>
      <c r="N20" s="10">
        <v>334640</v>
      </c>
      <c r="O20" s="10">
        <v>156450</v>
      </c>
      <c r="P20" s="10">
        <v>186330</v>
      </c>
      <c r="Q20" s="10">
        <v>23700</v>
      </c>
    </row>
    <row r="21" spans="2:17" x14ac:dyDescent="0.3">
      <c r="B21" s="9" t="s">
        <v>37</v>
      </c>
      <c r="C21" s="10">
        <f t="shared" si="0"/>
        <v>227530932</v>
      </c>
      <c r="D21" s="10">
        <f t="shared" si="1"/>
        <v>17502379.384615384</v>
      </c>
      <c r="E21" s="10">
        <v>710175</v>
      </c>
      <c r="F21" s="10">
        <v>1303498</v>
      </c>
      <c r="G21" s="10">
        <v>21047049</v>
      </c>
      <c r="H21" s="10">
        <v>1279763</v>
      </c>
      <c r="I21" s="10">
        <v>544396</v>
      </c>
      <c r="J21" s="10">
        <v>1426632</v>
      </c>
      <c r="K21" s="10">
        <v>1153314</v>
      </c>
      <c r="L21" s="10">
        <v>1160008</v>
      </c>
      <c r="M21" s="10">
        <v>770670</v>
      </c>
      <c r="N21" s="10">
        <v>867187</v>
      </c>
      <c r="O21" s="10">
        <v>80909295</v>
      </c>
      <c r="P21" s="10">
        <v>115689645</v>
      </c>
      <c r="Q21" s="10">
        <v>669300</v>
      </c>
    </row>
    <row r="22" spans="2:17" x14ac:dyDescent="0.3">
      <c r="B22" s="9" t="s">
        <v>38</v>
      </c>
      <c r="C22" s="10">
        <f t="shared" si="0"/>
        <v>2518362</v>
      </c>
      <c r="D22" s="10">
        <f t="shared" si="1"/>
        <v>193720.15384615384</v>
      </c>
      <c r="E22" s="10">
        <v>173800</v>
      </c>
      <c r="F22" s="10">
        <v>244100</v>
      </c>
      <c r="G22" s="10">
        <v>133400</v>
      </c>
      <c r="H22" s="10">
        <v>100000</v>
      </c>
      <c r="I22" s="10">
        <v>288100</v>
      </c>
      <c r="J22" s="10">
        <v>471000</v>
      </c>
      <c r="K22" s="10">
        <v>603500</v>
      </c>
      <c r="L22" s="10">
        <v>152812</v>
      </c>
      <c r="M22" s="10">
        <v>197100</v>
      </c>
      <c r="N22" s="10">
        <v>23600</v>
      </c>
      <c r="O22" s="10">
        <v>99950</v>
      </c>
      <c r="P22" s="10">
        <v>31000</v>
      </c>
      <c r="Q22" s="10">
        <v>0</v>
      </c>
    </row>
    <row r="23" spans="2:17" x14ac:dyDescent="0.3">
      <c r="B23" s="9" t="s">
        <v>39</v>
      </c>
      <c r="C23" s="10">
        <f t="shared" si="0"/>
        <v>463530</v>
      </c>
      <c r="D23" s="10">
        <f t="shared" si="1"/>
        <v>35656.153846153844</v>
      </c>
      <c r="E23" s="10">
        <v>0</v>
      </c>
      <c r="F23" s="10">
        <v>62040</v>
      </c>
      <c r="G23" s="10">
        <v>30600</v>
      </c>
      <c r="H23" s="10">
        <v>18000</v>
      </c>
      <c r="I23" s="10">
        <v>0</v>
      </c>
      <c r="J23" s="10">
        <v>18000</v>
      </c>
      <c r="K23" s="10">
        <v>19490</v>
      </c>
      <c r="L23" s="10">
        <v>171900</v>
      </c>
      <c r="M23" s="10">
        <v>20000</v>
      </c>
      <c r="N23" s="10">
        <v>60000</v>
      </c>
      <c r="O23" s="10">
        <v>41500</v>
      </c>
      <c r="P23" s="10">
        <v>22000</v>
      </c>
      <c r="Q23" s="10">
        <v>0</v>
      </c>
    </row>
    <row r="24" spans="2:17" x14ac:dyDescent="0.3">
      <c r="B24" s="9" t="s">
        <v>40</v>
      </c>
      <c r="C24" s="10">
        <f t="shared" si="0"/>
        <v>5450948</v>
      </c>
      <c r="D24" s="10">
        <f t="shared" si="1"/>
        <v>419303.69230769231</v>
      </c>
      <c r="E24" s="10">
        <v>434804</v>
      </c>
      <c r="F24" s="10">
        <v>366354</v>
      </c>
      <c r="G24" s="10">
        <v>431184</v>
      </c>
      <c r="H24" s="10">
        <v>372694</v>
      </c>
      <c r="I24" s="10">
        <v>370904</v>
      </c>
      <c r="J24" s="10">
        <v>865384</v>
      </c>
      <c r="K24" s="10">
        <v>348144</v>
      </c>
      <c r="L24" s="10">
        <v>361374</v>
      </c>
      <c r="M24" s="10">
        <v>410604</v>
      </c>
      <c r="N24" s="10">
        <v>387224</v>
      </c>
      <c r="O24" s="10">
        <v>390554</v>
      </c>
      <c r="P24" s="10">
        <v>505044</v>
      </c>
      <c r="Q24" s="10">
        <v>206680</v>
      </c>
    </row>
    <row r="25" spans="2:17" x14ac:dyDescent="0.3">
      <c r="B25" s="9" t="s">
        <v>41</v>
      </c>
      <c r="C25" s="10">
        <f t="shared" si="0"/>
        <v>23000</v>
      </c>
      <c r="D25" s="10">
        <f t="shared" si="1"/>
        <v>1769.2307692307693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23000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</row>
    <row r="26" spans="2:17" x14ac:dyDescent="0.3">
      <c r="B26" s="9" t="s">
        <v>42</v>
      </c>
      <c r="C26" s="10">
        <f t="shared" si="0"/>
        <v>3341990</v>
      </c>
      <c r="D26" s="10">
        <f t="shared" si="1"/>
        <v>257076.15384615384</v>
      </c>
      <c r="E26" s="10">
        <v>389640</v>
      </c>
      <c r="F26" s="10">
        <v>137470</v>
      </c>
      <c r="G26" s="10">
        <v>481620</v>
      </c>
      <c r="H26" s="10">
        <v>366180</v>
      </c>
      <c r="I26" s="10">
        <v>381720</v>
      </c>
      <c r="J26" s="10">
        <v>170520</v>
      </c>
      <c r="K26" s="10">
        <v>189235</v>
      </c>
      <c r="L26" s="10">
        <v>197195</v>
      </c>
      <c r="M26" s="10">
        <v>303180</v>
      </c>
      <c r="N26" s="10">
        <v>104400</v>
      </c>
      <c r="O26" s="10">
        <v>450520</v>
      </c>
      <c r="P26" s="10">
        <v>104600</v>
      </c>
      <c r="Q26" s="10">
        <v>65710</v>
      </c>
    </row>
    <row r="27" spans="2:17" x14ac:dyDescent="0.3">
      <c r="B27" s="9" t="s">
        <v>43</v>
      </c>
      <c r="C27" s="10">
        <f t="shared" si="0"/>
        <v>2122867</v>
      </c>
      <c r="D27" s="10">
        <f t="shared" si="1"/>
        <v>163297.46153846153</v>
      </c>
      <c r="E27" s="10">
        <v>0</v>
      </c>
      <c r="F27" s="10">
        <v>61700</v>
      </c>
      <c r="G27" s="10">
        <v>45600</v>
      </c>
      <c r="H27" s="10">
        <v>0</v>
      </c>
      <c r="I27" s="10">
        <v>0</v>
      </c>
      <c r="J27" s="10">
        <v>179200</v>
      </c>
      <c r="K27" s="10">
        <v>473021</v>
      </c>
      <c r="L27" s="10">
        <v>24497</v>
      </c>
      <c r="M27" s="10">
        <v>325583</v>
      </c>
      <c r="N27" s="10">
        <v>325583</v>
      </c>
      <c r="O27" s="10">
        <v>680183</v>
      </c>
      <c r="P27" s="10">
        <v>7500</v>
      </c>
      <c r="Q27" s="10">
        <v>0</v>
      </c>
    </row>
    <row r="28" spans="2:17" x14ac:dyDescent="0.3">
      <c r="B28" s="9" t="s">
        <v>44</v>
      </c>
      <c r="C28" s="10">
        <f t="shared" si="0"/>
        <v>8572939</v>
      </c>
      <c r="D28" s="10">
        <f t="shared" si="1"/>
        <v>659456.84615384613</v>
      </c>
      <c r="E28" s="10">
        <v>343015</v>
      </c>
      <c r="F28" s="10">
        <v>687391</v>
      </c>
      <c r="G28" s="10">
        <v>499473</v>
      </c>
      <c r="H28" s="10">
        <v>606560</v>
      </c>
      <c r="I28" s="10">
        <v>735089</v>
      </c>
      <c r="J28" s="10">
        <v>597739</v>
      </c>
      <c r="K28" s="10">
        <v>715789</v>
      </c>
      <c r="L28" s="10">
        <v>1301254</v>
      </c>
      <c r="M28" s="10">
        <v>287690</v>
      </c>
      <c r="N28" s="10">
        <v>249095</v>
      </c>
      <c r="O28" s="10">
        <v>878970</v>
      </c>
      <c r="P28" s="10">
        <v>1433394</v>
      </c>
      <c r="Q28" s="10">
        <v>237480</v>
      </c>
    </row>
    <row r="29" spans="2:17" x14ac:dyDescent="0.3">
      <c r="B29" s="9" t="s">
        <v>45</v>
      </c>
      <c r="C29" s="10">
        <f t="shared" si="0"/>
        <v>1721900</v>
      </c>
      <c r="D29" s="10">
        <f t="shared" si="1"/>
        <v>132453.84615384616</v>
      </c>
      <c r="E29" s="10">
        <v>10000</v>
      </c>
      <c r="F29" s="10">
        <v>0</v>
      </c>
      <c r="G29" s="10">
        <v>125000</v>
      </c>
      <c r="H29" s="10">
        <v>756500</v>
      </c>
      <c r="I29" s="10">
        <v>28700</v>
      </c>
      <c r="J29" s="10">
        <v>447500</v>
      </c>
      <c r="K29" s="10">
        <v>19500</v>
      </c>
      <c r="L29" s="10">
        <v>0</v>
      </c>
      <c r="M29" s="10">
        <v>0</v>
      </c>
      <c r="N29" s="10">
        <v>11300</v>
      </c>
      <c r="O29" s="10">
        <v>129700</v>
      </c>
      <c r="P29" s="10">
        <v>24100</v>
      </c>
      <c r="Q29" s="10">
        <v>169600</v>
      </c>
    </row>
    <row r="30" spans="2:17" x14ac:dyDescent="0.3">
      <c r="B30" s="9" t="s">
        <v>46</v>
      </c>
      <c r="C30" s="10">
        <f t="shared" si="0"/>
        <v>418840</v>
      </c>
      <c r="D30" s="10">
        <f t="shared" si="1"/>
        <v>32218.461538461539</v>
      </c>
      <c r="E30" s="10">
        <v>0</v>
      </c>
      <c r="F30" s="10">
        <v>33300</v>
      </c>
      <c r="G30" s="10">
        <v>47880</v>
      </c>
      <c r="H30" s="10">
        <v>28710</v>
      </c>
      <c r="I30" s="10">
        <v>0</v>
      </c>
      <c r="J30" s="10">
        <v>75150</v>
      </c>
      <c r="K30" s="10">
        <v>10000</v>
      </c>
      <c r="L30" s="10">
        <v>119900</v>
      </c>
      <c r="M30" s="10">
        <v>23900</v>
      </c>
      <c r="N30" s="10">
        <v>0</v>
      </c>
      <c r="O30" s="10">
        <v>0</v>
      </c>
      <c r="P30" s="10">
        <v>0</v>
      </c>
      <c r="Q30" s="10">
        <v>80000</v>
      </c>
    </row>
    <row r="31" spans="2:17" x14ac:dyDescent="0.3">
      <c r="B31" s="9" t="s">
        <v>47</v>
      </c>
      <c r="C31" s="10">
        <f t="shared" si="0"/>
        <v>2014300</v>
      </c>
      <c r="D31" s="10">
        <f t="shared" si="1"/>
        <v>154946.15384615384</v>
      </c>
      <c r="E31" s="10">
        <v>106000</v>
      </c>
      <c r="F31" s="10">
        <v>207200</v>
      </c>
      <c r="G31" s="10">
        <v>142800</v>
      </c>
      <c r="H31" s="10">
        <v>234300</v>
      </c>
      <c r="I31" s="10">
        <v>157500</v>
      </c>
      <c r="J31" s="10">
        <v>110800</v>
      </c>
      <c r="K31" s="10">
        <v>150500</v>
      </c>
      <c r="L31" s="10">
        <v>117000</v>
      </c>
      <c r="M31" s="10">
        <v>134600</v>
      </c>
      <c r="N31" s="10">
        <v>140000</v>
      </c>
      <c r="O31" s="10">
        <v>237600</v>
      </c>
      <c r="P31" s="10">
        <v>262500</v>
      </c>
      <c r="Q31" s="10">
        <v>13500</v>
      </c>
    </row>
    <row r="32" spans="2:17" x14ac:dyDescent="0.3">
      <c r="B32" s="9" t="s">
        <v>48</v>
      </c>
      <c r="C32" s="10">
        <f t="shared" si="0"/>
        <v>1026690</v>
      </c>
      <c r="D32" s="10">
        <f t="shared" si="1"/>
        <v>78976.153846153844</v>
      </c>
      <c r="E32" s="10">
        <v>35410</v>
      </c>
      <c r="F32" s="10">
        <v>87340</v>
      </c>
      <c r="G32" s="10">
        <v>79850</v>
      </c>
      <c r="H32" s="10">
        <v>65080</v>
      </c>
      <c r="I32" s="10">
        <v>71930</v>
      </c>
      <c r="J32" s="10">
        <v>87110</v>
      </c>
      <c r="K32" s="10">
        <v>73050</v>
      </c>
      <c r="L32" s="10">
        <v>85110</v>
      </c>
      <c r="M32" s="10">
        <v>102090</v>
      </c>
      <c r="N32" s="10">
        <v>92560</v>
      </c>
      <c r="O32" s="10">
        <v>75230</v>
      </c>
      <c r="P32" s="10">
        <v>87330</v>
      </c>
      <c r="Q32" s="10">
        <v>84600</v>
      </c>
    </row>
    <row r="33" spans="2:17" x14ac:dyDescent="0.3">
      <c r="B33" s="9" t="s">
        <v>49</v>
      </c>
      <c r="C33" s="10">
        <f t="shared" si="0"/>
        <v>1119400</v>
      </c>
      <c r="D33" s="10">
        <f t="shared" si="1"/>
        <v>86107.692307692312</v>
      </c>
      <c r="E33" s="10">
        <v>91990</v>
      </c>
      <c r="F33" s="10">
        <v>103150</v>
      </c>
      <c r="G33" s="10">
        <v>164710</v>
      </c>
      <c r="H33" s="10">
        <v>112800</v>
      </c>
      <c r="I33" s="10">
        <v>92690</v>
      </c>
      <c r="J33" s="10">
        <v>46240</v>
      </c>
      <c r="K33" s="10">
        <v>73720</v>
      </c>
      <c r="L33" s="10">
        <v>80790</v>
      </c>
      <c r="M33" s="10">
        <v>92110</v>
      </c>
      <c r="N33" s="10">
        <v>128200</v>
      </c>
      <c r="O33" s="10">
        <v>73920</v>
      </c>
      <c r="P33" s="10">
        <v>36120</v>
      </c>
      <c r="Q33" s="10">
        <v>22960</v>
      </c>
    </row>
    <row r="34" spans="2:17" x14ac:dyDescent="0.3">
      <c r="B34" s="9" t="s">
        <v>50</v>
      </c>
      <c r="C34" s="10">
        <f t="shared" si="0"/>
        <v>9521666</v>
      </c>
      <c r="D34" s="10">
        <f t="shared" si="1"/>
        <v>732435.84615384613</v>
      </c>
      <c r="E34" s="10">
        <v>488940</v>
      </c>
      <c r="F34" s="10">
        <v>2966361</v>
      </c>
      <c r="G34" s="10">
        <v>285360</v>
      </c>
      <c r="H34" s="10">
        <v>545880</v>
      </c>
      <c r="I34" s="10">
        <v>346520</v>
      </c>
      <c r="J34" s="10">
        <v>377940</v>
      </c>
      <c r="K34" s="10">
        <v>1898962</v>
      </c>
      <c r="L34" s="10">
        <v>151250</v>
      </c>
      <c r="M34" s="10">
        <v>95100</v>
      </c>
      <c r="N34" s="10">
        <v>237352</v>
      </c>
      <c r="O34" s="10">
        <v>438720</v>
      </c>
      <c r="P34" s="10">
        <v>1650981</v>
      </c>
      <c r="Q34" s="10">
        <v>38300</v>
      </c>
    </row>
    <row r="35" spans="2:17" x14ac:dyDescent="0.3">
      <c r="B35" s="11" t="s">
        <v>51</v>
      </c>
      <c r="C35" s="12">
        <f t="shared" si="0"/>
        <v>268324954</v>
      </c>
      <c r="D35" s="12">
        <f t="shared" si="1"/>
        <v>20640381.076923076</v>
      </c>
      <c r="E35" s="12">
        <f t="shared" ref="E35:Q35" si="3">SUM(E18:E34)</f>
        <v>2821574</v>
      </c>
      <c r="F35" s="12">
        <f t="shared" si="3"/>
        <v>6491004</v>
      </c>
      <c r="G35" s="12">
        <f t="shared" si="3"/>
        <v>23748716</v>
      </c>
      <c r="H35" s="12">
        <f t="shared" si="3"/>
        <v>4679467</v>
      </c>
      <c r="I35" s="12">
        <f t="shared" si="3"/>
        <v>3357899</v>
      </c>
      <c r="J35" s="12">
        <f t="shared" si="3"/>
        <v>5055195</v>
      </c>
      <c r="K35" s="12">
        <f t="shared" si="3"/>
        <v>6031425</v>
      </c>
      <c r="L35" s="12">
        <f t="shared" si="3"/>
        <v>3994890</v>
      </c>
      <c r="M35" s="12">
        <f t="shared" si="3"/>
        <v>2968677</v>
      </c>
      <c r="N35" s="12">
        <f t="shared" si="3"/>
        <v>2961141</v>
      </c>
      <c r="O35" s="12">
        <f t="shared" si="3"/>
        <v>84562592</v>
      </c>
      <c r="P35" s="12">
        <f t="shared" si="3"/>
        <v>120040544</v>
      </c>
      <c r="Q35" s="12">
        <f t="shared" si="3"/>
        <v>1611830</v>
      </c>
    </row>
    <row r="36" spans="2:17" x14ac:dyDescent="0.3">
      <c r="B36" s="13" t="s">
        <v>52</v>
      </c>
      <c r="C36" s="14">
        <f t="shared" si="0"/>
        <v>429778326</v>
      </c>
      <c r="D36" s="14">
        <f t="shared" si="1"/>
        <v>33059871.230769232</v>
      </c>
      <c r="E36" s="14">
        <f t="shared" ref="E36:Q36" si="4">E17-E35</f>
        <v>2370319</v>
      </c>
      <c r="F36" s="14">
        <f t="shared" si="4"/>
        <v>-912866</v>
      </c>
      <c r="G36" s="14">
        <f t="shared" si="4"/>
        <v>-18272890</v>
      </c>
      <c r="H36" s="14">
        <f t="shared" si="4"/>
        <v>819620</v>
      </c>
      <c r="I36" s="14">
        <f t="shared" si="4"/>
        <v>1824273</v>
      </c>
      <c r="J36" s="14">
        <f t="shared" si="4"/>
        <v>330492</v>
      </c>
      <c r="K36" s="14">
        <f t="shared" si="4"/>
        <v>28014</v>
      </c>
      <c r="L36" s="14">
        <f t="shared" si="4"/>
        <v>3855164</v>
      </c>
      <c r="M36" s="14">
        <f t="shared" si="4"/>
        <v>10757117</v>
      </c>
      <c r="N36" s="14">
        <f t="shared" si="4"/>
        <v>56038979</v>
      </c>
      <c r="O36" s="14">
        <f t="shared" si="4"/>
        <v>1961315</v>
      </c>
      <c r="P36" s="14">
        <f t="shared" si="4"/>
        <v>371842108</v>
      </c>
      <c r="Q36" s="14">
        <f t="shared" si="4"/>
        <v>-863319</v>
      </c>
    </row>
    <row r="39" spans="2:17" ht="20.25" x14ac:dyDescent="0.3">
      <c r="B39" s="1" t="s">
        <v>53</v>
      </c>
    </row>
    <row r="40" spans="2:17" x14ac:dyDescent="0.3">
      <c r="B40" t="s">
        <v>54</v>
      </c>
    </row>
    <row r="41" spans="2:17" x14ac:dyDescent="0.3">
      <c r="B41" s="71" t="s">
        <v>55</v>
      </c>
      <c r="C41" s="71"/>
      <c r="D41" s="71"/>
      <c r="E41" s="71"/>
      <c r="F41" s="72" t="s">
        <v>56</v>
      </c>
      <c r="G41" s="72"/>
      <c r="H41" s="72"/>
      <c r="I41" s="72"/>
    </row>
    <row r="42" spans="2:17" x14ac:dyDescent="0.3">
      <c r="B42" s="15" t="s">
        <v>12</v>
      </c>
      <c r="C42" s="73" t="s">
        <v>57</v>
      </c>
      <c r="D42" s="73"/>
      <c r="E42" s="16" t="s">
        <v>58</v>
      </c>
      <c r="F42" s="16" t="s">
        <v>12</v>
      </c>
      <c r="G42" s="73" t="s">
        <v>57</v>
      </c>
      <c r="H42" s="73"/>
      <c r="I42" s="16" t="s">
        <v>58</v>
      </c>
    </row>
    <row r="43" spans="2:17" x14ac:dyDescent="0.3">
      <c r="B43" s="68" t="s">
        <v>59</v>
      </c>
      <c r="C43" s="63" t="s">
        <v>60</v>
      </c>
      <c r="D43" s="63"/>
      <c r="E43" s="19">
        <v>3931685</v>
      </c>
      <c r="F43" s="20" t="s">
        <v>98</v>
      </c>
      <c r="G43" s="63" t="s">
        <v>99</v>
      </c>
      <c r="H43" s="63"/>
      <c r="I43" s="21">
        <v>600000000</v>
      </c>
    </row>
    <row r="44" spans="2:17" x14ac:dyDescent="0.3">
      <c r="B44" s="68"/>
      <c r="C44" s="63" t="s">
        <v>61</v>
      </c>
      <c r="D44" s="63"/>
      <c r="E44" s="19">
        <v>13090630</v>
      </c>
      <c r="F44" s="18"/>
      <c r="G44" s="63"/>
      <c r="H44" s="63"/>
      <c r="I44" s="22"/>
    </row>
    <row r="45" spans="2:17" x14ac:dyDescent="0.3">
      <c r="B45" s="68"/>
      <c r="C45" s="63" t="s">
        <v>62</v>
      </c>
      <c r="D45" s="63"/>
      <c r="E45" s="19">
        <v>41</v>
      </c>
      <c r="F45" s="18"/>
      <c r="G45" s="63"/>
      <c r="H45" s="63"/>
      <c r="I45" s="22"/>
    </row>
    <row r="46" spans="2:17" x14ac:dyDescent="0.3">
      <c r="B46" s="68"/>
      <c r="C46" s="63" t="s">
        <v>63</v>
      </c>
      <c r="D46" s="63"/>
      <c r="E46" s="19">
        <v>2</v>
      </c>
      <c r="F46" s="18"/>
      <c r="G46" s="63"/>
      <c r="H46" s="63"/>
      <c r="I46" s="22"/>
    </row>
    <row r="47" spans="2:17" x14ac:dyDescent="0.3">
      <c r="B47" s="68"/>
      <c r="C47" s="63" t="s">
        <v>64</v>
      </c>
      <c r="D47" s="63"/>
      <c r="E47" s="19">
        <v>3269297</v>
      </c>
      <c r="F47" s="18"/>
      <c r="G47" s="63"/>
      <c r="H47" s="63"/>
      <c r="I47" s="22"/>
    </row>
    <row r="48" spans="2:17" x14ac:dyDescent="0.3">
      <c r="B48" s="68"/>
      <c r="C48" s="63" t="s">
        <v>65</v>
      </c>
      <c r="D48" s="63"/>
      <c r="E48" s="19">
        <v>1107</v>
      </c>
      <c r="F48" s="18"/>
      <c r="G48" s="63"/>
      <c r="H48" s="63"/>
      <c r="I48" s="22"/>
    </row>
    <row r="49" spans="2:9" x14ac:dyDescent="0.3">
      <c r="B49" s="68"/>
      <c r="C49" s="63" t="s">
        <v>66</v>
      </c>
      <c r="D49" s="63"/>
      <c r="E49" s="19">
        <v>126</v>
      </c>
      <c r="F49" s="18"/>
      <c r="G49" s="63"/>
      <c r="H49" s="63"/>
      <c r="I49" s="22"/>
    </row>
    <row r="50" spans="2:9" x14ac:dyDescent="0.3">
      <c r="B50" s="68"/>
      <c r="C50" s="63" t="s">
        <v>67</v>
      </c>
      <c r="D50" s="63"/>
      <c r="E50" s="19">
        <v>6449648</v>
      </c>
      <c r="F50" s="18"/>
      <c r="G50" s="63"/>
      <c r="H50" s="63"/>
      <c r="I50" s="22"/>
    </row>
    <row r="51" spans="2:9" x14ac:dyDescent="0.3">
      <c r="B51" s="68"/>
      <c r="C51" s="63" t="s">
        <v>67</v>
      </c>
      <c r="D51" s="63"/>
      <c r="E51" s="19">
        <v>7000</v>
      </c>
      <c r="F51" s="18"/>
      <c r="G51" s="63"/>
      <c r="H51" s="63"/>
      <c r="I51" s="22"/>
    </row>
    <row r="52" spans="2:9" x14ac:dyDescent="0.3">
      <c r="B52" s="68"/>
      <c r="C52" s="63" t="s">
        <v>68</v>
      </c>
      <c r="D52" s="63"/>
      <c r="E52" s="19">
        <v>41506</v>
      </c>
      <c r="F52" s="18"/>
      <c r="G52" s="63"/>
      <c r="H52" s="63"/>
      <c r="I52" s="22"/>
    </row>
    <row r="53" spans="2:9" x14ac:dyDescent="0.3">
      <c r="B53" s="17" t="s">
        <v>69</v>
      </c>
      <c r="C53" s="63"/>
      <c r="D53" s="63"/>
      <c r="E53" s="19"/>
      <c r="F53" s="18"/>
      <c r="G53" s="63"/>
      <c r="H53" s="63"/>
      <c r="I53" s="22"/>
    </row>
    <row r="54" spans="2:9" x14ac:dyDescent="0.3">
      <c r="B54" s="17" t="s">
        <v>70</v>
      </c>
      <c r="C54" s="63" t="s">
        <v>71</v>
      </c>
      <c r="D54" s="63"/>
      <c r="E54" s="19">
        <v>0</v>
      </c>
      <c r="F54" s="18"/>
      <c r="G54" s="63"/>
      <c r="H54" s="63"/>
      <c r="I54" s="22"/>
    </row>
    <row r="55" spans="2:9" x14ac:dyDescent="0.3">
      <c r="B55" s="17" t="s">
        <v>72</v>
      </c>
      <c r="C55" s="63" t="s">
        <v>73</v>
      </c>
      <c r="D55" s="63"/>
      <c r="E55" s="19">
        <v>100000</v>
      </c>
      <c r="F55" s="18"/>
      <c r="G55" s="63"/>
      <c r="H55" s="63"/>
      <c r="I55" s="22"/>
    </row>
    <row r="56" spans="2:9" x14ac:dyDescent="0.3">
      <c r="B56" s="68" t="s">
        <v>74</v>
      </c>
      <c r="C56" s="63" t="s">
        <v>75</v>
      </c>
      <c r="D56" s="63"/>
      <c r="E56" s="19">
        <v>0</v>
      </c>
      <c r="F56" s="18"/>
      <c r="G56" s="63"/>
      <c r="H56" s="63"/>
      <c r="I56" s="22"/>
    </row>
    <row r="57" spans="2:9" x14ac:dyDescent="0.3">
      <c r="B57" s="68"/>
      <c r="C57" s="63" t="s">
        <v>76</v>
      </c>
      <c r="D57" s="63"/>
      <c r="E57" s="19">
        <v>0</v>
      </c>
      <c r="F57" s="18"/>
      <c r="G57" s="63"/>
      <c r="H57" s="63"/>
      <c r="I57" s="22"/>
    </row>
    <row r="58" spans="2:9" x14ac:dyDescent="0.3">
      <c r="B58" s="68"/>
      <c r="C58" s="63" t="s">
        <v>77</v>
      </c>
      <c r="D58" s="63"/>
      <c r="E58" s="19">
        <v>12000</v>
      </c>
      <c r="F58" s="18"/>
      <c r="G58" s="63"/>
      <c r="H58" s="63"/>
      <c r="I58" s="22"/>
    </row>
    <row r="59" spans="2:9" x14ac:dyDescent="0.3">
      <c r="B59" s="68"/>
      <c r="C59" s="63" t="s">
        <v>78</v>
      </c>
      <c r="D59" s="63"/>
      <c r="E59" s="19">
        <v>0</v>
      </c>
      <c r="F59" s="18"/>
      <c r="G59" s="63"/>
      <c r="H59" s="63"/>
      <c r="I59" s="22"/>
    </row>
    <row r="60" spans="2:9" x14ac:dyDescent="0.3">
      <c r="B60" s="68" t="s">
        <v>79</v>
      </c>
      <c r="C60" s="63" t="s">
        <v>80</v>
      </c>
      <c r="D60" s="63"/>
      <c r="E60" s="19">
        <v>1919980</v>
      </c>
      <c r="F60" s="18"/>
      <c r="G60" s="63"/>
      <c r="H60" s="63"/>
      <c r="I60" s="22"/>
    </row>
    <row r="61" spans="2:9" x14ac:dyDescent="0.3">
      <c r="B61" s="68"/>
      <c r="C61" s="63" t="s">
        <v>81</v>
      </c>
      <c r="D61" s="63"/>
      <c r="E61" s="19">
        <v>1726080</v>
      </c>
      <c r="F61" s="18"/>
      <c r="G61" s="63"/>
      <c r="H61" s="63"/>
      <c r="I61" s="22"/>
    </row>
    <row r="62" spans="2:9" x14ac:dyDescent="0.3">
      <c r="B62" s="68"/>
      <c r="C62" s="63" t="s">
        <v>82</v>
      </c>
      <c r="D62" s="63"/>
      <c r="E62" s="19">
        <v>20105</v>
      </c>
      <c r="F62" s="18"/>
      <c r="G62" s="63"/>
      <c r="H62" s="63"/>
      <c r="I62" s="22"/>
    </row>
    <row r="63" spans="2:9" x14ac:dyDescent="0.3">
      <c r="B63" s="68"/>
      <c r="C63" s="63" t="s">
        <v>83</v>
      </c>
      <c r="D63" s="63"/>
      <c r="E63" s="19">
        <v>446955.17499999999</v>
      </c>
      <c r="F63" s="18"/>
      <c r="G63" s="63"/>
      <c r="H63" s="63"/>
      <c r="I63" s="22"/>
    </row>
    <row r="64" spans="2:9" x14ac:dyDescent="0.3">
      <c r="B64" s="68"/>
      <c r="C64" s="63" t="s">
        <v>84</v>
      </c>
      <c r="D64" s="63"/>
      <c r="E64" s="19">
        <v>3481.8249999999998</v>
      </c>
      <c r="F64" s="18"/>
      <c r="G64" s="63"/>
      <c r="H64" s="63"/>
      <c r="I64" s="22"/>
    </row>
    <row r="65" spans="2:9" x14ac:dyDescent="0.3">
      <c r="B65" s="68"/>
      <c r="C65" s="63" t="s">
        <v>85</v>
      </c>
      <c r="D65" s="63"/>
      <c r="E65" s="19">
        <v>282</v>
      </c>
      <c r="F65" s="18"/>
      <c r="G65" s="63"/>
      <c r="H65" s="63"/>
      <c r="I65" s="22"/>
    </row>
    <row r="66" spans="2:9" x14ac:dyDescent="0.3">
      <c r="B66" s="68"/>
      <c r="C66" s="63" t="s">
        <v>86</v>
      </c>
      <c r="D66" s="63"/>
      <c r="E66" s="19">
        <v>693121</v>
      </c>
      <c r="F66" s="18"/>
      <c r="G66" s="63"/>
      <c r="H66" s="63"/>
      <c r="I66" s="22"/>
    </row>
    <row r="67" spans="2:9" x14ac:dyDescent="0.3">
      <c r="B67" s="68"/>
      <c r="C67" s="63" t="s">
        <v>87</v>
      </c>
      <c r="D67" s="63"/>
      <c r="E67" s="19">
        <v>1</v>
      </c>
      <c r="F67" s="18"/>
      <c r="G67" s="63"/>
      <c r="H67" s="63"/>
      <c r="I67" s="22"/>
    </row>
    <row r="68" spans="2:9" x14ac:dyDescent="0.3">
      <c r="B68" s="17" t="s">
        <v>88</v>
      </c>
      <c r="C68" s="63"/>
      <c r="D68" s="63"/>
      <c r="E68" s="19"/>
      <c r="F68" s="18"/>
      <c r="G68" s="63"/>
      <c r="H68" s="63"/>
      <c r="I68" s="22"/>
    </row>
    <row r="69" spans="2:9" x14ac:dyDescent="0.3">
      <c r="B69" s="17" t="s">
        <v>89</v>
      </c>
      <c r="C69" s="63"/>
      <c r="D69" s="63"/>
      <c r="E69" s="19"/>
      <c r="F69" s="18"/>
      <c r="G69" s="63"/>
      <c r="H69" s="63"/>
      <c r="I69" s="22"/>
    </row>
    <row r="70" spans="2:9" x14ac:dyDescent="0.3">
      <c r="B70" s="17" t="s">
        <v>90</v>
      </c>
      <c r="C70" s="63"/>
      <c r="D70" s="63"/>
      <c r="E70" s="19"/>
      <c r="F70" s="18"/>
      <c r="G70" s="63"/>
      <c r="H70" s="63"/>
      <c r="I70" s="22"/>
    </row>
    <row r="71" spans="2:9" x14ac:dyDescent="0.3">
      <c r="B71" s="68" t="s">
        <v>91</v>
      </c>
      <c r="C71" s="63" t="s">
        <v>92</v>
      </c>
      <c r="D71" s="63"/>
      <c r="E71" s="19">
        <v>0</v>
      </c>
      <c r="F71" s="18"/>
      <c r="G71" s="63"/>
      <c r="H71" s="63"/>
      <c r="I71" s="22"/>
    </row>
    <row r="72" spans="2:9" x14ac:dyDescent="0.3">
      <c r="B72" s="68"/>
      <c r="C72" s="63" t="s">
        <v>93</v>
      </c>
      <c r="D72" s="63"/>
      <c r="E72" s="19">
        <v>0</v>
      </c>
      <c r="F72" s="18"/>
      <c r="G72" s="63"/>
      <c r="H72" s="63"/>
      <c r="I72" s="22"/>
    </row>
    <row r="73" spans="2:9" x14ac:dyDescent="0.3">
      <c r="B73" s="68"/>
      <c r="C73" s="63" t="s">
        <v>94</v>
      </c>
      <c r="D73" s="63"/>
      <c r="E73" s="19">
        <v>0</v>
      </c>
      <c r="F73" s="18"/>
      <c r="G73" s="63"/>
      <c r="H73" s="63"/>
      <c r="I73" s="22"/>
    </row>
    <row r="74" spans="2:9" x14ac:dyDescent="0.3">
      <c r="B74" s="68"/>
      <c r="C74" s="63" t="s">
        <v>95</v>
      </c>
      <c r="D74" s="63"/>
      <c r="E74" s="19">
        <v>0</v>
      </c>
      <c r="F74" s="18"/>
      <c r="G74" s="63"/>
      <c r="H74" s="63"/>
      <c r="I74" s="22"/>
    </row>
    <row r="75" spans="2:9" x14ac:dyDescent="0.3">
      <c r="B75" s="68"/>
      <c r="C75" s="63" t="s">
        <v>96</v>
      </c>
      <c r="D75" s="63"/>
      <c r="E75" s="19">
        <v>0</v>
      </c>
      <c r="F75" s="18"/>
      <c r="G75" s="63"/>
      <c r="H75" s="63"/>
      <c r="I75" s="22"/>
    </row>
    <row r="76" spans="2:9" x14ac:dyDescent="0.3">
      <c r="B76" s="17" t="s">
        <v>97</v>
      </c>
      <c r="C76" s="63"/>
      <c r="D76" s="63"/>
      <c r="E76" s="19"/>
      <c r="F76" s="18"/>
      <c r="G76" s="63"/>
      <c r="H76" s="63"/>
      <c r="I76" s="22"/>
    </row>
    <row r="77" spans="2:9" x14ac:dyDescent="0.3">
      <c r="B77" s="64" t="s">
        <v>100</v>
      </c>
      <c r="C77" s="64"/>
      <c r="D77" s="64"/>
      <c r="E77" s="23">
        <f>SUM(E43:E76)</f>
        <v>31713048</v>
      </c>
      <c r="F77" s="65" t="s">
        <v>101</v>
      </c>
      <c r="G77" s="65"/>
      <c r="H77" s="65"/>
      <c r="I77" s="24">
        <f>SUM(I43:I76)</f>
        <v>600000000</v>
      </c>
    </row>
    <row r="78" spans="2:9" x14ac:dyDescent="0.3">
      <c r="B78" s="66" t="s">
        <v>102</v>
      </c>
      <c r="C78" s="66"/>
      <c r="D78" s="66"/>
      <c r="E78" s="66"/>
      <c r="F78" s="66"/>
      <c r="G78" s="66"/>
      <c r="H78" s="66"/>
      <c r="I78" s="66"/>
    </row>
    <row r="79" spans="2:9" x14ac:dyDescent="0.3">
      <c r="B79" s="67">
        <f>E77-I77</f>
        <v>-568286952</v>
      </c>
      <c r="C79" s="67"/>
      <c r="D79" s="67"/>
      <c r="E79" s="67"/>
      <c r="F79" s="67"/>
      <c r="G79" s="67"/>
      <c r="H79" s="67"/>
      <c r="I79" s="67"/>
    </row>
    <row r="82" spans="2:10" ht="20.25" x14ac:dyDescent="0.3">
      <c r="B82" s="1" t="s">
        <v>103</v>
      </c>
    </row>
    <row r="83" spans="2:10" x14ac:dyDescent="0.3">
      <c r="B83" t="s">
        <v>104</v>
      </c>
    </row>
    <row r="84" spans="2:10" x14ac:dyDescent="0.3">
      <c r="B84" s="25" t="s">
        <v>105</v>
      </c>
      <c r="C84" s="62" t="s">
        <v>106</v>
      </c>
      <c r="D84" s="62"/>
      <c r="E84" s="26" t="s">
        <v>107</v>
      </c>
      <c r="F84" s="26" t="s">
        <v>108</v>
      </c>
      <c r="G84" s="26" t="s">
        <v>109</v>
      </c>
      <c r="H84" s="26" t="s">
        <v>110</v>
      </c>
    </row>
    <row r="85" spans="2:10" x14ac:dyDescent="0.3">
      <c r="B85" s="27" t="s">
        <v>111</v>
      </c>
      <c r="C85" s="59" t="s">
        <v>92</v>
      </c>
      <c r="D85" s="59"/>
      <c r="E85" s="29" t="s">
        <v>112</v>
      </c>
      <c r="F85" s="30">
        <v>50000000</v>
      </c>
      <c r="G85" s="31">
        <v>43370</v>
      </c>
      <c r="H85" s="31">
        <v>48849</v>
      </c>
    </row>
    <row r="86" spans="2:10" x14ac:dyDescent="0.3">
      <c r="B86" s="27" t="s">
        <v>113</v>
      </c>
      <c r="C86" s="59" t="s">
        <v>93</v>
      </c>
      <c r="D86" s="59"/>
      <c r="E86" s="29" t="s">
        <v>112</v>
      </c>
      <c r="F86" s="30">
        <v>0</v>
      </c>
      <c r="G86" s="31">
        <v>45294</v>
      </c>
      <c r="H86" s="31">
        <v>47121</v>
      </c>
    </row>
    <row r="87" spans="2:10" x14ac:dyDescent="0.3">
      <c r="B87" s="27" t="s">
        <v>111</v>
      </c>
      <c r="C87" s="59" t="s">
        <v>94</v>
      </c>
      <c r="D87" s="59"/>
      <c r="E87" s="29" t="s">
        <v>112</v>
      </c>
      <c r="F87" s="30">
        <v>60000000</v>
      </c>
      <c r="G87" s="31">
        <v>43399</v>
      </c>
      <c r="H87" s="31">
        <v>401119</v>
      </c>
    </row>
    <row r="88" spans="2:10" x14ac:dyDescent="0.3">
      <c r="B88" s="27" t="s">
        <v>111</v>
      </c>
      <c r="C88" s="59" t="s">
        <v>95</v>
      </c>
      <c r="D88" s="59"/>
      <c r="E88" s="29" t="s">
        <v>112</v>
      </c>
      <c r="F88" s="30">
        <v>10000000</v>
      </c>
      <c r="G88" s="31">
        <v>43077</v>
      </c>
      <c r="H88" s="31">
        <v>50382</v>
      </c>
    </row>
    <row r="89" spans="2:10" x14ac:dyDescent="0.3">
      <c r="B89" s="27" t="s">
        <v>113</v>
      </c>
      <c r="C89" s="59" t="s">
        <v>96</v>
      </c>
      <c r="D89" s="59"/>
      <c r="E89" s="29" t="s">
        <v>112</v>
      </c>
      <c r="F89" s="30">
        <v>776330</v>
      </c>
      <c r="G89" s="31">
        <v>46211</v>
      </c>
      <c r="H89" s="31">
        <v>46576</v>
      </c>
    </row>
    <row r="90" spans="2:10" x14ac:dyDescent="0.3">
      <c r="B90" s="61" t="s">
        <v>13</v>
      </c>
      <c r="C90" s="56" t="s">
        <v>114</v>
      </c>
      <c r="D90" s="56"/>
      <c r="E90" s="32" t="s">
        <v>115</v>
      </c>
      <c r="F90" s="32" t="s">
        <v>116</v>
      </c>
      <c r="G90" s="32"/>
      <c r="H90" s="33"/>
    </row>
    <row r="91" spans="2:10" x14ac:dyDescent="0.3">
      <c r="B91" s="61"/>
      <c r="C91" s="57" t="s">
        <v>117</v>
      </c>
      <c r="D91" s="57"/>
      <c r="E91" s="34" t="s">
        <v>118</v>
      </c>
      <c r="F91" s="35">
        <f>SUM(F85:F89)</f>
        <v>120776330</v>
      </c>
      <c r="G91" s="34"/>
      <c r="H91" s="36"/>
    </row>
    <row r="93" spans="2:10" ht="20.25" x14ac:dyDescent="0.3">
      <c r="B93" s="1" t="s">
        <v>119</v>
      </c>
    </row>
    <row r="94" spans="2:10" x14ac:dyDescent="0.3">
      <c r="B94" t="s">
        <v>120</v>
      </c>
    </row>
    <row r="95" spans="2:10" x14ac:dyDescent="0.3">
      <c r="B95" s="25" t="s">
        <v>121</v>
      </c>
      <c r="C95" s="26" t="s">
        <v>105</v>
      </c>
      <c r="D95" s="62" t="s">
        <v>57</v>
      </c>
      <c r="E95" s="62"/>
      <c r="F95" s="26" t="s">
        <v>122</v>
      </c>
      <c r="G95" s="26" t="s">
        <v>123</v>
      </c>
      <c r="H95" s="26" t="s">
        <v>124</v>
      </c>
      <c r="I95" s="26" t="s">
        <v>125</v>
      </c>
      <c r="J95" s="26" t="s">
        <v>110</v>
      </c>
    </row>
    <row r="96" spans="2:10" x14ac:dyDescent="0.3">
      <c r="B96" s="27" t="s">
        <v>126</v>
      </c>
      <c r="C96" s="28" t="s">
        <v>127</v>
      </c>
      <c r="D96" s="59" t="s">
        <v>80</v>
      </c>
      <c r="E96" s="59"/>
      <c r="F96" s="30">
        <v>1277189</v>
      </c>
      <c r="G96" s="30">
        <v>1919980</v>
      </c>
      <c r="H96" s="37">
        <v>50.328573139918987</v>
      </c>
      <c r="I96" s="31"/>
      <c r="J96" s="31"/>
    </row>
    <row r="97" spans="2:10" x14ac:dyDescent="0.3">
      <c r="B97" s="27" t="s">
        <v>126</v>
      </c>
      <c r="C97" s="28" t="s">
        <v>127</v>
      </c>
      <c r="D97" s="59" t="s">
        <v>81</v>
      </c>
      <c r="E97" s="59"/>
      <c r="F97" s="30">
        <v>1737959</v>
      </c>
      <c r="G97" s="30">
        <v>1726080</v>
      </c>
      <c r="H97" s="37">
        <v>-0.68350289045944124</v>
      </c>
      <c r="I97" s="31"/>
      <c r="J97" s="31"/>
    </row>
    <row r="98" spans="2:10" x14ac:dyDescent="0.3">
      <c r="B98" s="55" t="s">
        <v>13</v>
      </c>
      <c r="C98" s="32"/>
      <c r="D98" s="56" t="s">
        <v>128</v>
      </c>
      <c r="E98" s="56"/>
      <c r="F98" s="32" t="s">
        <v>129</v>
      </c>
      <c r="G98" s="32" t="s">
        <v>130</v>
      </c>
      <c r="H98" s="32" t="s">
        <v>131</v>
      </c>
      <c r="I98" s="32"/>
      <c r="J98" s="33"/>
    </row>
    <row r="99" spans="2:10" x14ac:dyDescent="0.3">
      <c r="B99" s="55"/>
      <c r="C99" s="34"/>
      <c r="D99" s="57" t="s">
        <v>132</v>
      </c>
      <c r="E99" s="57"/>
      <c r="F99" s="35">
        <f>SUM(F96:F97)</f>
        <v>3015148</v>
      </c>
      <c r="G99" s="35">
        <f>SUM(G96:G97)</f>
        <v>3646060</v>
      </c>
      <c r="H99" s="38">
        <f>(SUM(G96:G97) - SUM(F96:F97)) * 100 / IF(SUM(F96:F97), SUM(F96:F97), 1)</f>
        <v>20.924743992666365</v>
      </c>
      <c r="I99" s="34"/>
      <c r="J99" s="36"/>
    </row>
    <row r="101" spans="2:10" ht="20.25" x14ac:dyDescent="0.3">
      <c r="B101" s="1" t="s">
        <v>133</v>
      </c>
    </row>
    <row r="102" spans="2:10" x14ac:dyDescent="0.3">
      <c r="B102" t="s">
        <v>134</v>
      </c>
    </row>
    <row r="103" spans="2:10" x14ac:dyDescent="0.3">
      <c r="B103" s="39" t="s">
        <v>135</v>
      </c>
      <c r="C103" s="40" t="s">
        <v>105</v>
      </c>
      <c r="D103" s="58" t="s">
        <v>57</v>
      </c>
      <c r="E103" s="58"/>
      <c r="F103" s="40" t="s">
        <v>136</v>
      </c>
      <c r="G103" s="40" t="s">
        <v>137</v>
      </c>
      <c r="H103" s="40" t="s">
        <v>138</v>
      </c>
      <c r="I103" s="40" t="s">
        <v>139</v>
      </c>
      <c r="J103" s="40" t="s">
        <v>140</v>
      </c>
    </row>
    <row r="104" spans="2:10" x14ac:dyDescent="0.3">
      <c r="B104" s="27" t="s">
        <v>141</v>
      </c>
      <c r="C104" s="28" t="s">
        <v>142</v>
      </c>
      <c r="D104" s="59" t="s">
        <v>99</v>
      </c>
      <c r="E104" s="59"/>
      <c r="F104" s="30">
        <v>600000000</v>
      </c>
      <c r="G104" s="30">
        <v>600000000</v>
      </c>
      <c r="H104" s="28">
        <v>4.08</v>
      </c>
      <c r="I104" s="31">
        <v>46192</v>
      </c>
      <c r="J104" s="31">
        <v>57123</v>
      </c>
    </row>
    <row r="105" spans="2:10" x14ac:dyDescent="0.3">
      <c r="B105" s="55" t="s">
        <v>13</v>
      </c>
      <c r="C105" s="32"/>
      <c r="D105" s="56" t="s">
        <v>143</v>
      </c>
      <c r="E105" s="56"/>
      <c r="F105" s="32" t="s">
        <v>144</v>
      </c>
      <c r="G105" s="32" t="s">
        <v>145</v>
      </c>
      <c r="H105" s="32"/>
      <c r="I105" s="32"/>
      <c r="J105" s="33"/>
    </row>
    <row r="106" spans="2:10" x14ac:dyDescent="0.3">
      <c r="B106" s="55"/>
      <c r="C106" s="34"/>
      <c r="D106" s="60">
        <f>SUM(1)</f>
        <v>1</v>
      </c>
      <c r="E106" s="60"/>
      <c r="F106" s="35">
        <f>SUM(F104)</f>
        <v>600000000</v>
      </c>
      <c r="G106" s="35">
        <f>SUM(G104)</f>
        <v>600000000</v>
      </c>
      <c r="H106" s="34"/>
      <c r="I106" s="34"/>
      <c r="J106" s="36"/>
    </row>
  </sheetData>
  <mergeCells count="102">
    <mergeCell ref="F5:G5"/>
    <mergeCell ref="F6:G6"/>
    <mergeCell ref="B41:E41"/>
    <mergeCell ref="F41:I41"/>
    <mergeCell ref="C42:D42"/>
    <mergeCell ref="G42:H42"/>
    <mergeCell ref="B43:B5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G52:H52"/>
    <mergeCell ref="C53:D53"/>
    <mergeCell ref="C54:D54"/>
    <mergeCell ref="C55:D55"/>
    <mergeCell ref="B56:B59"/>
    <mergeCell ref="C56:D56"/>
    <mergeCell ref="C57:D57"/>
    <mergeCell ref="C58:D58"/>
    <mergeCell ref="C59:D59"/>
    <mergeCell ref="B60:B67"/>
    <mergeCell ref="C60:D60"/>
    <mergeCell ref="C61:D61"/>
    <mergeCell ref="C62:D62"/>
    <mergeCell ref="C63:D63"/>
    <mergeCell ref="C64:D64"/>
    <mergeCell ref="C65:D65"/>
    <mergeCell ref="C66:D66"/>
    <mergeCell ref="C67:D67"/>
    <mergeCell ref="G61:H61"/>
    <mergeCell ref="G62:H62"/>
    <mergeCell ref="G63:H63"/>
    <mergeCell ref="G64:H64"/>
    <mergeCell ref="G65:H65"/>
    <mergeCell ref="C68:D68"/>
    <mergeCell ref="C69:D69"/>
    <mergeCell ref="C70:D70"/>
    <mergeCell ref="B71:B75"/>
    <mergeCell ref="C71:D71"/>
    <mergeCell ref="C72:D72"/>
    <mergeCell ref="C73:D73"/>
    <mergeCell ref="C74:D74"/>
    <mergeCell ref="C75:D75"/>
    <mergeCell ref="G66:H66"/>
    <mergeCell ref="G67:H67"/>
    <mergeCell ref="G68:H68"/>
    <mergeCell ref="G69:H69"/>
    <mergeCell ref="G70:H70"/>
    <mergeCell ref="G71:H71"/>
    <mergeCell ref="G72:H72"/>
    <mergeCell ref="G73:H73"/>
    <mergeCell ref="G74:H74"/>
    <mergeCell ref="G75:H75"/>
    <mergeCell ref="G53:H53"/>
    <mergeCell ref="G54:H54"/>
    <mergeCell ref="G55:H55"/>
    <mergeCell ref="G56:H56"/>
    <mergeCell ref="G57:H57"/>
    <mergeCell ref="G58:H58"/>
    <mergeCell ref="G59:H59"/>
    <mergeCell ref="G60:H60"/>
    <mergeCell ref="G43:H43"/>
    <mergeCell ref="G44:H44"/>
    <mergeCell ref="G45:H45"/>
    <mergeCell ref="G46:H46"/>
    <mergeCell ref="G47:H47"/>
    <mergeCell ref="G48:H48"/>
    <mergeCell ref="G49:H49"/>
    <mergeCell ref="G50:H50"/>
    <mergeCell ref="G51:H51"/>
    <mergeCell ref="G76:H76"/>
    <mergeCell ref="B77:D77"/>
    <mergeCell ref="F77:H77"/>
    <mergeCell ref="B78:I78"/>
    <mergeCell ref="B79:I79"/>
    <mergeCell ref="C84:D84"/>
    <mergeCell ref="C85:D85"/>
    <mergeCell ref="C86:D86"/>
    <mergeCell ref="C76:D76"/>
    <mergeCell ref="B98:B99"/>
    <mergeCell ref="D98:E98"/>
    <mergeCell ref="D99:E99"/>
    <mergeCell ref="D103:E103"/>
    <mergeCell ref="D104:E104"/>
    <mergeCell ref="B105:B106"/>
    <mergeCell ref="D105:E105"/>
    <mergeCell ref="D106:E106"/>
    <mergeCell ref="C87:D87"/>
    <mergeCell ref="C88:D88"/>
    <mergeCell ref="C89:D89"/>
    <mergeCell ref="B90:B91"/>
    <mergeCell ref="C90:D90"/>
    <mergeCell ref="C91:D91"/>
    <mergeCell ref="D95:E95"/>
    <mergeCell ref="D96:E96"/>
    <mergeCell ref="D97:E97"/>
  </mergeCells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91"/>
  <sheetViews>
    <sheetView workbookViewId="0">
      <selection activeCell="E477" sqref="E477"/>
    </sheetView>
  </sheetViews>
  <sheetFormatPr defaultRowHeight="16.5" x14ac:dyDescent="0.3"/>
  <cols>
    <col min="1" max="1" width="15.75" customWidth="1"/>
    <col min="5" max="6" width="20.75" customWidth="1"/>
    <col min="7" max="7" width="37.5" customWidth="1"/>
    <col min="8" max="8" width="25.875" customWidth="1"/>
  </cols>
  <sheetData>
    <row r="1" spans="1:8" x14ac:dyDescent="0.3">
      <c r="A1" s="41" t="s">
        <v>146</v>
      </c>
      <c r="B1" s="41" t="s">
        <v>147</v>
      </c>
      <c r="C1" s="41" t="s">
        <v>148</v>
      </c>
      <c r="D1" s="41" t="s">
        <v>149</v>
      </c>
      <c r="E1" s="41" t="s">
        <v>150</v>
      </c>
      <c r="F1" s="41" t="s">
        <v>58</v>
      </c>
      <c r="G1" s="41" t="s">
        <v>151</v>
      </c>
      <c r="H1" s="41" t="s">
        <v>428</v>
      </c>
    </row>
    <row r="2" spans="1:8" x14ac:dyDescent="0.3">
      <c r="A2" s="42">
        <v>46216</v>
      </c>
      <c r="B2" s="43">
        <v>0.73108796296296297</v>
      </c>
      <c r="C2" t="s">
        <v>152</v>
      </c>
      <c r="D2" t="s">
        <v>37</v>
      </c>
      <c r="E2" t="s">
        <v>153</v>
      </c>
      <c r="F2">
        <v>-19400</v>
      </c>
      <c r="G2" t="s">
        <v>154</v>
      </c>
    </row>
    <row r="3" spans="1:8" x14ac:dyDescent="0.3">
      <c r="A3" s="42">
        <v>46216</v>
      </c>
      <c r="B3" s="43">
        <v>0.70185185185185184</v>
      </c>
      <c r="C3" t="s">
        <v>152</v>
      </c>
      <c r="D3" t="s">
        <v>37</v>
      </c>
      <c r="E3" t="s">
        <v>153</v>
      </c>
      <c r="F3">
        <v>19400</v>
      </c>
      <c r="G3" t="s">
        <v>154</v>
      </c>
    </row>
    <row r="4" spans="1:8" x14ac:dyDescent="0.3">
      <c r="A4" s="42">
        <v>46216</v>
      </c>
      <c r="B4" s="43">
        <v>0.6338773148148148</v>
      </c>
      <c r="C4" t="s">
        <v>152</v>
      </c>
      <c r="D4" t="s">
        <v>37</v>
      </c>
      <c r="E4" t="s">
        <v>153</v>
      </c>
      <c r="F4">
        <v>-19400</v>
      </c>
      <c r="G4" t="s">
        <v>154</v>
      </c>
    </row>
    <row r="5" spans="1:8" x14ac:dyDescent="0.3">
      <c r="A5" s="42">
        <v>46215</v>
      </c>
      <c r="B5" s="43">
        <v>0.45465277777777779</v>
      </c>
      <c r="C5" t="s">
        <v>155</v>
      </c>
      <c r="D5" t="s">
        <v>155</v>
      </c>
      <c r="E5" t="s">
        <v>157</v>
      </c>
      <c r="F5">
        <v>5500</v>
      </c>
      <c r="G5" t="s">
        <v>158</v>
      </c>
    </row>
    <row r="6" spans="1:8" x14ac:dyDescent="0.3">
      <c r="A6" s="42">
        <v>46215</v>
      </c>
      <c r="B6" s="43">
        <v>0.43040509259259258</v>
      </c>
      <c r="C6" t="s">
        <v>152</v>
      </c>
      <c r="D6" t="s">
        <v>44</v>
      </c>
      <c r="E6" t="s">
        <v>159</v>
      </c>
      <c r="F6">
        <v>-13900</v>
      </c>
      <c r="G6" t="s">
        <v>154</v>
      </c>
    </row>
    <row r="7" spans="1:8" x14ac:dyDescent="0.3">
      <c r="A7" s="42">
        <v>46215</v>
      </c>
      <c r="B7" s="43">
        <v>0.41097222222222218</v>
      </c>
      <c r="C7" t="s">
        <v>152</v>
      </c>
      <c r="D7" t="s">
        <v>36</v>
      </c>
      <c r="E7" t="s">
        <v>160</v>
      </c>
      <c r="F7">
        <v>-4700</v>
      </c>
      <c r="G7" t="s">
        <v>161</v>
      </c>
    </row>
    <row r="8" spans="1:8" x14ac:dyDescent="0.3">
      <c r="A8" s="42">
        <v>46215</v>
      </c>
      <c r="B8" s="43">
        <v>0.41097222222222218</v>
      </c>
      <c r="C8" t="s">
        <v>152</v>
      </c>
      <c r="D8" t="s">
        <v>36</v>
      </c>
      <c r="E8" t="s">
        <v>162</v>
      </c>
      <c r="F8">
        <v>-5400</v>
      </c>
      <c r="G8" t="s">
        <v>161</v>
      </c>
    </row>
    <row r="9" spans="1:8" x14ac:dyDescent="0.3">
      <c r="A9" s="42">
        <v>46215</v>
      </c>
      <c r="B9" s="43">
        <v>0.37634259259259262</v>
      </c>
      <c r="C9" t="s">
        <v>155</v>
      </c>
      <c r="D9" t="s">
        <v>163</v>
      </c>
      <c r="E9" t="s">
        <v>164</v>
      </c>
      <c r="F9">
        <v>10000</v>
      </c>
      <c r="G9" t="s">
        <v>158</v>
      </c>
    </row>
    <row r="10" spans="1:8" x14ac:dyDescent="0.3">
      <c r="A10" s="42">
        <v>46215</v>
      </c>
      <c r="B10" s="43">
        <v>0.37634259259259262</v>
      </c>
      <c r="C10" t="s">
        <v>152</v>
      </c>
      <c r="D10" t="s">
        <v>37</v>
      </c>
      <c r="E10" t="s">
        <v>165</v>
      </c>
      <c r="F10">
        <v>-4500</v>
      </c>
      <c r="G10" t="s">
        <v>158</v>
      </c>
    </row>
    <row r="11" spans="1:8" x14ac:dyDescent="0.3">
      <c r="A11" s="42">
        <v>46215</v>
      </c>
      <c r="B11" s="43">
        <v>0.37634259259259262</v>
      </c>
      <c r="C11" t="s">
        <v>155</v>
      </c>
      <c r="D11" t="s">
        <v>155</v>
      </c>
      <c r="E11" t="s">
        <v>426</v>
      </c>
      <c r="F11">
        <v>-10000</v>
      </c>
      <c r="G11" t="s">
        <v>61</v>
      </c>
    </row>
    <row r="12" spans="1:8" x14ac:dyDescent="0.3">
      <c r="A12" s="42">
        <v>46215</v>
      </c>
      <c r="B12" s="43">
        <v>0.37605324074074081</v>
      </c>
      <c r="C12" t="s">
        <v>152</v>
      </c>
      <c r="D12" t="s">
        <v>37</v>
      </c>
      <c r="E12" t="s">
        <v>165</v>
      </c>
      <c r="F12">
        <v>-4500</v>
      </c>
      <c r="G12" t="s">
        <v>158</v>
      </c>
    </row>
    <row r="13" spans="1:8" x14ac:dyDescent="0.3">
      <c r="A13" s="42">
        <v>46215</v>
      </c>
      <c r="B13" s="43">
        <v>0.37552083333333341</v>
      </c>
      <c r="C13" t="s">
        <v>155</v>
      </c>
      <c r="D13" t="s">
        <v>155</v>
      </c>
      <c r="E13" t="s">
        <v>167</v>
      </c>
      <c r="F13">
        <v>5500</v>
      </c>
      <c r="G13" t="s">
        <v>158</v>
      </c>
    </row>
    <row r="14" spans="1:8" x14ac:dyDescent="0.3">
      <c r="A14" s="42">
        <v>46214</v>
      </c>
      <c r="B14" s="43">
        <v>0.87811342592592589</v>
      </c>
      <c r="C14" t="s">
        <v>152</v>
      </c>
      <c r="D14" t="s">
        <v>40</v>
      </c>
      <c r="E14" t="s">
        <v>168</v>
      </c>
      <c r="F14">
        <v>-19200</v>
      </c>
      <c r="G14" t="s">
        <v>169</v>
      </c>
    </row>
    <row r="15" spans="1:8" x14ac:dyDescent="0.3">
      <c r="A15" s="42">
        <v>46214</v>
      </c>
      <c r="B15" s="43">
        <v>0.86130787037037038</v>
      </c>
      <c r="C15" t="s">
        <v>152</v>
      </c>
      <c r="D15" t="s">
        <v>40</v>
      </c>
      <c r="E15" t="s">
        <v>170</v>
      </c>
      <c r="F15">
        <v>-3920</v>
      </c>
      <c r="G15" t="s">
        <v>154</v>
      </c>
    </row>
    <row r="16" spans="1:8" x14ac:dyDescent="0.3">
      <c r="A16" s="42">
        <v>46214</v>
      </c>
      <c r="B16" s="43">
        <v>0.84472222222222226</v>
      </c>
      <c r="C16" t="s">
        <v>152</v>
      </c>
      <c r="D16" t="s">
        <v>40</v>
      </c>
      <c r="E16" t="s">
        <v>171</v>
      </c>
      <c r="F16">
        <v>-156960</v>
      </c>
      <c r="G16" t="s">
        <v>154</v>
      </c>
    </row>
    <row r="17" spans="1:7" x14ac:dyDescent="0.3">
      <c r="A17" s="42">
        <v>46214</v>
      </c>
      <c r="B17" s="43">
        <v>0.84410879629629632</v>
      </c>
      <c r="C17" t="s">
        <v>152</v>
      </c>
      <c r="D17" t="s">
        <v>40</v>
      </c>
      <c r="E17" t="s">
        <v>172</v>
      </c>
      <c r="F17">
        <v>166960</v>
      </c>
      <c r="G17" t="s">
        <v>169</v>
      </c>
    </row>
    <row r="18" spans="1:7" x14ac:dyDescent="0.3">
      <c r="A18" s="42">
        <v>46214</v>
      </c>
      <c r="B18" s="43">
        <v>0.84303240740740737</v>
      </c>
      <c r="C18" t="s">
        <v>152</v>
      </c>
      <c r="D18" t="s">
        <v>40</v>
      </c>
      <c r="E18" t="s">
        <v>173</v>
      </c>
      <c r="F18">
        <v>-100</v>
      </c>
      <c r="G18" t="s">
        <v>174</v>
      </c>
    </row>
    <row r="19" spans="1:7" x14ac:dyDescent="0.3">
      <c r="A19" s="42">
        <v>46214</v>
      </c>
      <c r="B19" s="43">
        <v>0.83546296296296296</v>
      </c>
      <c r="C19" t="s">
        <v>152</v>
      </c>
      <c r="D19" t="s">
        <v>40</v>
      </c>
      <c r="E19" t="s">
        <v>172</v>
      </c>
      <c r="F19">
        <v>-166960</v>
      </c>
      <c r="G19" t="s">
        <v>169</v>
      </c>
    </row>
    <row r="20" spans="1:7" x14ac:dyDescent="0.3">
      <c r="A20" s="42">
        <v>46214</v>
      </c>
      <c r="B20" s="43">
        <v>0.57341435185185186</v>
      </c>
      <c r="C20" t="s">
        <v>152</v>
      </c>
      <c r="D20" t="s">
        <v>40</v>
      </c>
      <c r="E20" t="s">
        <v>175</v>
      </c>
      <c r="F20">
        <v>-2000</v>
      </c>
      <c r="G20" t="s">
        <v>154</v>
      </c>
    </row>
    <row r="21" spans="1:7" x14ac:dyDescent="0.3">
      <c r="A21" s="42">
        <v>46213</v>
      </c>
      <c r="B21" s="43">
        <v>0.61078703703703707</v>
      </c>
      <c r="C21" t="s">
        <v>176</v>
      </c>
      <c r="D21" t="s">
        <v>32</v>
      </c>
      <c r="E21" t="s">
        <v>177</v>
      </c>
      <c r="F21">
        <v>566600</v>
      </c>
      <c r="G21" t="s">
        <v>61</v>
      </c>
    </row>
    <row r="22" spans="1:7" x14ac:dyDescent="0.3">
      <c r="A22" s="42">
        <v>46213</v>
      </c>
      <c r="B22" s="43">
        <v>0.5836689814814815</v>
      </c>
      <c r="C22" t="s">
        <v>176</v>
      </c>
      <c r="D22" t="s">
        <v>28</v>
      </c>
      <c r="E22" t="s">
        <v>178</v>
      </c>
      <c r="F22">
        <v>27240</v>
      </c>
      <c r="G22" t="s">
        <v>61</v>
      </c>
    </row>
    <row r="23" spans="1:7" x14ac:dyDescent="0.3">
      <c r="A23" s="42">
        <v>46213</v>
      </c>
      <c r="B23" s="43">
        <v>0.46304398148148151</v>
      </c>
      <c r="C23" t="s">
        <v>152</v>
      </c>
      <c r="D23" t="s">
        <v>44</v>
      </c>
      <c r="E23" t="s">
        <v>179</v>
      </c>
      <c r="F23">
        <v>-34900</v>
      </c>
      <c r="G23" t="s">
        <v>180</v>
      </c>
    </row>
    <row r="24" spans="1:7" x14ac:dyDescent="0.3">
      <c r="A24" s="42">
        <v>46212</v>
      </c>
      <c r="B24" s="43">
        <v>0.65804398148148147</v>
      </c>
      <c r="C24" t="s">
        <v>152</v>
      </c>
      <c r="D24" t="s">
        <v>42</v>
      </c>
      <c r="E24" t="s">
        <v>181</v>
      </c>
      <c r="F24">
        <v>-26900</v>
      </c>
      <c r="G24" t="s">
        <v>182</v>
      </c>
    </row>
    <row r="25" spans="1:7" x14ac:dyDescent="0.3">
      <c r="A25" s="42">
        <v>46212</v>
      </c>
      <c r="B25" s="43">
        <v>0.53268518518518515</v>
      </c>
      <c r="C25" t="s">
        <v>152</v>
      </c>
      <c r="D25" t="s">
        <v>42</v>
      </c>
      <c r="E25" t="s">
        <v>183</v>
      </c>
      <c r="F25">
        <v>-30000</v>
      </c>
      <c r="G25" t="s">
        <v>154</v>
      </c>
    </row>
    <row r="26" spans="1:7" x14ac:dyDescent="0.3">
      <c r="A26" s="42">
        <v>46212</v>
      </c>
      <c r="B26" s="43">
        <v>0.51314814814814813</v>
      </c>
      <c r="C26" t="s">
        <v>152</v>
      </c>
      <c r="D26" t="s">
        <v>50</v>
      </c>
      <c r="E26" t="s">
        <v>184</v>
      </c>
      <c r="F26">
        <v>-10300</v>
      </c>
      <c r="G26" t="s">
        <v>154</v>
      </c>
    </row>
    <row r="27" spans="1:7" x14ac:dyDescent="0.3">
      <c r="A27" s="42">
        <v>46212</v>
      </c>
      <c r="B27" s="43">
        <v>0.41130787037037042</v>
      </c>
      <c r="C27" t="s">
        <v>152</v>
      </c>
      <c r="D27" t="s">
        <v>48</v>
      </c>
      <c r="E27" t="s">
        <v>185</v>
      </c>
      <c r="F27">
        <v>-56600</v>
      </c>
      <c r="G27" t="s">
        <v>186</v>
      </c>
    </row>
    <row r="28" spans="1:7" x14ac:dyDescent="0.3">
      <c r="A28" s="42">
        <v>46212</v>
      </c>
      <c r="B28" s="43">
        <v>0.41052083333333328</v>
      </c>
      <c r="C28" t="s">
        <v>152</v>
      </c>
      <c r="D28" t="s">
        <v>36</v>
      </c>
      <c r="E28" t="s">
        <v>187</v>
      </c>
      <c r="F28">
        <v>-1050</v>
      </c>
      <c r="G28" t="s">
        <v>161</v>
      </c>
    </row>
    <row r="29" spans="1:7" x14ac:dyDescent="0.3">
      <c r="A29" s="42">
        <v>46212</v>
      </c>
      <c r="B29" s="43">
        <v>0.41052083333333328</v>
      </c>
      <c r="C29" t="s">
        <v>152</v>
      </c>
      <c r="D29" t="s">
        <v>36</v>
      </c>
      <c r="E29" t="s">
        <v>188</v>
      </c>
      <c r="F29">
        <v>-12550</v>
      </c>
      <c r="G29" t="s">
        <v>161</v>
      </c>
    </row>
    <row r="30" spans="1:7" x14ac:dyDescent="0.3">
      <c r="A30" s="42">
        <v>46211</v>
      </c>
      <c r="B30" s="43">
        <v>0.79402777777777778</v>
      </c>
      <c r="C30" t="s">
        <v>152</v>
      </c>
      <c r="D30" t="s">
        <v>40</v>
      </c>
      <c r="E30" t="s">
        <v>189</v>
      </c>
      <c r="F30">
        <v>-5500</v>
      </c>
      <c r="G30" t="s">
        <v>169</v>
      </c>
    </row>
    <row r="31" spans="1:7" x14ac:dyDescent="0.3">
      <c r="A31" s="42">
        <v>46211</v>
      </c>
      <c r="B31" s="43">
        <v>0.75340277777777775</v>
      </c>
      <c r="C31" t="s">
        <v>152</v>
      </c>
      <c r="D31" t="s">
        <v>44</v>
      </c>
      <c r="E31" t="s">
        <v>190</v>
      </c>
      <c r="F31">
        <v>-20100</v>
      </c>
      <c r="G31" t="s">
        <v>154</v>
      </c>
    </row>
    <row r="32" spans="1:7" x14ac:dyDescent="0.3">
      <c r="A32" s="42">
        <v>46211</v>
      </c>
      <c r="B32" s="43">
        <v>0.73755787037037035</v>
      </c>
      <c r="C32" t="s">
        <v>176</v>
      </c>
      <c r="D32" t="s">
        <v>32</v>
      </c>
      <c r="E32" t="s">
        <v>191</v>
      </c>
      <c r="F32">
        <v>154671</v>
      </c>
      <c r="G32" t="s">
        <v>61</v>
      </c>
    </row>
    <row r="33" spans="1:7" x14ac:dyDescent="0.3">
      <c r="A33" s="42">
        <v>46211</v>
      </c>
      <c r="B33" s="43">
        <v>0.73431712962962958</v>
      </c>
      <c r="C33" t="s">
        <v>152</v>
      </c>
      <c r="D33" t="s">
        <v>44</v>
      </c>
      <c r="E33" t="s">
        <v>190</v>
      </c>
      <c r="F33">
        <v>-27840</v>
      </c>
      <c r="G33" t="s">
        <v>154</v>
      </c>
    </row>
    <row r="34" spans="1:7" x14ac:dyDescent="0.3">
      <c r="A34" s="42">
        <v>46210</v>
      </c>
      <c r="B34" s="43">
        <v>0.80877314814814816</v>
      </c>
      <c r="C34" t="s">
        <v>152</v>
      </c>
      <c r="D34" t="s">
        <v>44</v>
      </c>
      <c r="E34" t="s">
        <v>190</v>
      </c>
      <c r="F34">
        <v>-9900</v>
      </c>
      <c r="G34" t="s">
        <v>154</v>
      </c>
    </row>
    <row r="35" spans="1:7" x14ac:dyDescent="0.3">
      <c r="A35" s="42">
        <v>46210</v>
      </c>
      <c r="B35" s="43">
        <v>0.67026620370370371</v>
      </c>
      <c r="C35" t="s">
        <v>152</v>
      </c>
      <c r="D35" t="s">
        <v>50</v>
      </c>
      <c r="E35" t="s">
        <v>184</v>
      </c>
      <c r="F35">
        <v>-3200</v>
      </c>
      <c r="G35" t="s">
        <v>169</v>
      </c>
    </row>
    <row r="36" spans="1:7" x14ac:dyDescent="0.3">
      <c r="A36" s="42">
        <v>46210</v>
      </c>
      <c r="B36" s="43">
        <v>0.41037037037037039</v>
      </c>
      <c r="C36" t="s">
        <v>152</v>
      </c>
      <c r="D36" t="s">
        <v>50</v>
      </c>
      <c r="E36" t="s">
        <v>184</v>
      </c>
      <c r="F36">
        <v>-1600</v>
      </c>
      <c r="G36" t="s">
        <v>169</v>
      </c>
    </row>
    <row r="37" spans="1:7" x14ac:dyDescent="0.3">
      <c r="A37" s="42">
        <v>46210</v>
      </c>
      <c r="B37" s="43">
        <v>0.38055555555555548</v>
      </c>
      <c r="C37" t="s">
        <v>152</v>
      </c>
      <c r="D37" t="s">
        <v>42</v>
      </c>
      <c r="E37" t="s">
        <v>192</v>
      </c>
      <c r="F37">
        <v>-8810</v>
      </c>
      <c r="G37" t="s">
        <v>182</v>
      </c>
    </row>
    <row r="38" spans="1:7" x14ac:dyDescent="0.3">
      <c r="A38" s="42">
        <v>46209</v>
      </c>
      <c r="B38" s="43">
        <v>0.70805555555555555</v>
      </c>
      <c r="C38" t="s">
        <v>152</v>
      </c>
      <c r="D38" t="s">
        <v>44</v>
      </c>
      <c r="E38" t="s">
        <v>190</v>
      </c>
      <c r="F38">
        <v>-11900</v>
      </c>
      <c r="G38" t="s">
        <v>154</v>
      </c>
    </row>
    <row r="39" spans="1:7" x14ac:dyDescent="0.3">
      <c r="A39" s="42">
        <v>46209</v>
      </c>
      <c r="B39" s="43">
        <v>0.56168981481481484</v>
      </c>
      <c r="C39" t="s">
        <v>155</v>
      </c>
      <c r="D39" t="s">
        <v>163</v>
      </c>
      <c r="E39" t="s">
        <v>164</v>
      </c>
      <c r="F39">
        <v>26900</v>
      </c>
      <c r="G39" t="s">
        <v>158</v>
      </c>
    </row>
    <row r="40" spans="1:7" x14ac:dyDescent="0.3">
      <c r="A40" s="42">
        <v>46209</v>
      </c>
      <c r="B40" s="43">
        <v>0.56168981481481484</v>
      </c>
      <c r="C40" t="s">
        <v>155</v>
      </c>
      <c r="D40" t="s">
        <v>155</v>
      </c>
      <c r="E40" t="s">
        <v>193</v>
      </c>
      <c r="F40">
        <v>-30000</v>
      </c>
      <c r="G40" t="s">
        <v>158</v>
      </c>
    </row>
    <row r="41" spans="1:7" x14ac:dyDescent="0.3">
      <c r="A41" s="42">
        <v>46209</v>
      </c>
      <c r="B41" s="43">
        <v>0.56168981481481484</v>
      </c>
      <c r="C41" t="s">
        <v>155</v>
      </c>
      <c r="D41" t="s">
        <v>155</v>
      </c>
      <c r="E41" t="s">
        <v>166</v>
      </c>
      <c r="F41">
        <v>-26900</v>
      </c>
      <c r="G41" t="s">
        <v>61</v>
      </c>
    </row>
    <row r="42" spans="1:7" x14ac:dyDescent="0.3">
      <c r="A42" s="42">
        <v>46209</v>
      </c>
      <c r="B42" s="43">
        <v>0.56087962962962967</v>
      </c>
      <c r="C42" t="s">
        <v>152</v>
      </c>
      <c r="D42" t="s">
        <v>37</v>
      </c>
      <c r="E42" t="s">
        <v>194</v>
      </c>
      <c r="F42">
        <v>-591000</v>
      </c>
      <c r="G42" t="s">
        <v>174</v>
      </c>
    </row>
    <row r="43" spans="1:7" x14ac:dyDescent="0.3">
      <c r="A43" s="42">
        <v>46209</v>
      </c>
      <c r="B43" s="43">
        <v>0.54805555555555552</v>
      </c>
      <c r="C43" t="s">
        <v>152</v>
      </c>
      <c r="D43" t="s">
        <v>37</v>
      </c>
      <c r="E43" t="s">
        <v>195</v>
      </c>
      <c r="F43">
        <v>-49900</v>
      </c>
      <c r="G43" t="s">
        <v>154</v>
      </c>
    </row>
    <row r="44" spans="1:7" x14ac:dyDescent="0.3">
      <c r="A44" s="42">
        <v>46209</v>
      </c>
      <c r="B44" s="43">
        <v>0.47343750000000001</v>
      </c>
      <c r="C44" t="s">
        <v>152</v>
      </c>
      <c r="D44" t="s">
        <v>44</v>
      </c>
      <c r="E44" t="s">
        <v>196</v>
      </c>
      <c r="F44">
        <v>-56000</v>
      </c>
      <c r="G44" t="s">
        <v>174</v>
      </c>
    </row>
    <row r="45" spans="1:7" x14ac:dyDescent="0.3">
      <c r="A45" s="42">
        <v>46209</v>
      </c>
      <c r="B45" s="43">
        <v>0.42216435185185192</v>
      </c>
      <c r="C45" t="s">
        <v>155</v>
      </c>
      <c r="D45" t="s">
        <v>155</v>
      </c>
      <c r="E45" t="s">
        <v>197</v>
      </c>
      <c r="F45">
        <v>-6000</v>
      </c>
      <c r="G45" t="s">
        <v>158</v>
      </c>
    </row>
    <row r="46" spans="1:7" x14ac:dyDescent="0.3">
      <c r="A46" s="42">
        <v>46209</v>
      </c>
      <c r="B46" s="43">
        <v>0.30283564814814817</v>
      </c>
      <c r="C46" t="s">
        <v>152</v>
      </c>
      <c r="D46" t="s">
        <v>44</v>
      </c>
      <c r="E46" t="s">
        <v>190</v>
      </c>
      <c r="F46">
        <v>-29350</v>
      </c>
      <c r="G46" t="s">
        <v>154</v>
      </c>
    </row>
    <row r="47" spans="1:7" x14ac:dyDescent="0.3">
      <c r="A47" s="42">
        <v>46208</v>
      </c>
      <c r="B47" s="43">
        <v>0.97016203703703707</v>
      </c>
      <c r="C47" t="s">
        <v>152</v>
      </c>
      <c r="D47" t="s">
        <v>46</v>
      </c>
      <c r="E47" t="s">
        <v>198</v>
      </c>
      <c r="F47">
        <v>-14486</v>
      </c>
      <c r="G47" t="s">
        <v>199</v>
      </c>
    </row>
    <row r="48" spans="1:7" x14ac:dyDescent="0.3">
      <c r="A48" s="42">
        <v>46208</v>
      </c>
      <c r="B48" s="43">
        <v>0.97016203703703707</v>
      </c>
      <c r="C48" t="s">
        <v>152</v>
      </c>
      <c r="D48" t="s">
        <v>46</v>
      </c>
      <c r="E48" t="s">
        <v>198</v>
      </c>
      <c r="F48">
        <v>-65514</v>
      </c>
      <c r="G48" t="s">
        <v>182</v>
      </c>
    </row>
    <row r="49" spans="1:7" x14ac:dyDescent="0.3">
      <c r="A49" s="42">
        <v>46208</v>
      </c>
      <c r="B49" s="43">
        <v>0.81745370370370374</v>
      </c>
      <c r="C49" t="s">
        <v>152</v>
      </c>
      <c r="D49" t="s">
        <v>49</v>
      </c>
      <c r="E49" t="s">
        <v>200</v>
      </c>
      <c r="F49">
        <v>-7760</v>
      </c>
      <c r="G49" t="s">
        <v>199</v>
      </c>
    </row>
    <row r="50" spans="1:7" x14ac:dyDescent="0.3">
      <c r="A50" s="42">
        <v>46208</v>
      </c>
      <c r="B50" s="43">
        <v>0.46629629629629632</v>
      </c>
      <c r="C50" t="s">
        <v>152</v>
      </c>
      <c r="D50" t="s">
        <v>40</v>
      </c>
      <c r="E50" t="s">
        <v>201</v>
      </c>
      <c r="F50">
        <v>-13400</v>
      </c>
      <c r="G50" t="s">
        <v>169</v>
      </c>
    </row>
    <row r="51" spans="1:7" x14ac:dyDescent="0.3">
      <c r="A51" s="42">
        <v>46207</v>
      </c>
      <c r="B51" s="43">
        <v>0.7618287037037037</v>
      </c>
      <c r="C51" t="s">
        <v>155</v>
      </c>
      <c r="D51" t="s">
        <v>155</v>
      </c>
      <c r="E51" t="s">
        <v>202</v>
      </c>
      <c r="F51">
        <v>-4750000</v>
      </c>
      <c r="G51" t="s">
        <v>61</v>
      </c>
    </row>
    <row r="52" spans="1:7" x14ac:dyDescent="0.3">
      <c r="A52" s="42">
        <v>46207</v>
      </c>
      <c r="B52" s="43">
        <v>0.65883101851851855</v>
      </c>
      <c r="C52" t="s">
        <v>152</v>
      </c>
      <c r="D52" t="s">
        <v>48</v>
      </c>
      <c r="E52" t="s">
        <v>203</v>
      </c>
      <c r="F52">
        <v>-28000</v>
      </c>
      <c r="G52" t="s">
        <v>169</v>
      </c>
    </row>
    <row r="53" spans="1:7" x14ac:dyDescent="0.3">
      <c r="A53" s="42">
        <v>46207</v>
      </c>
      <c r="B53" s="43">
        <v>0.62339120370370371</v>
      </c>
      <c r="C53" t="s">
        <v>152</v>
      </c>
      <c r="D53" t="s">
        <v>49</v>
      </c>
      <c r="E53" t="s">
        <v>204</v>
      </c>
      <c r="F53">
        <v>-4000</v>
      </c>
      <c r="G53" t="s">
        <v>169</v>
      </c>
    </row>
    <row r="54" spans="1:7" x14ac:dyDescent="0.3">
      <c r="A54" s="42">
        <v>46207</v>
      </c>
      <c r="B54" s="43">
        <v>0.3923611111111111</v>
      </c>
      <c r="C54" t="s">
        <v>152</v>
      </c>
      <c r="D54" t="s">
        <v>50</v>
      </c>
      <c r="E54" t="s">
        <v>205</v>
      </c>
      <c r="F54">
        <v>-12000</v>
      </c>
      <c r="G54" t="s">
        <v>169</v>
      </c>
    </row>
    <row r="55" spans="1:7" x14ac:dyDescent="0.3">
      <c r="A55" s="42">
        <v>46206</v>
      </c>
      <c r="B55" s="43">
        <v>0.78518518518518521</v>
      </c>
      <c r="C55" t="s">
        <v>152</v>
      </c>
      <c r="D55" t="s">
        <v>44</v>
      </c>
      <c r="E55" t="s">
        <v>190</v>
      </c>
      <c r="F55">
        <v>-6690</v>
      </c>
      <c r="G55" t="s">
        <v>154</v>
      </c>
    </row>
    <row r="56" spans="1:7" x14ac:dyDescent="0.3">
      <c r="A56" s="42">
        <v>46206</v>
      </c>
      <c r="B56" s="43">
        <v>0.64892361111111108</v>
      </c>
      <c r="C56" t="s">
        <v>152</v>
      </c>
      <c r="D56" t="s">
        <v>50</v>
      </c>
      <c r="E56" t="s">
        <v>184</v>
      </c>
      <c r="F56">
        <v>-3200</v>
      </c>
      <c r="G56" t="s">
        <v>169</v>
      </c>
    </row>
    <row r="57" spans="1:7" x14ac:dyDescent="0.3">
      <c r="A57" s="42">
        <v>46206</v>
      </c>
      <c r="B57" s="43">
        <v>0.51504629629629628</v>
      </c>
      <c r="C57" t="s">
        <v>152</v>
      </c>
      <c r="D57" t="s">
        <v>40</v>
      </c>
      <c r="E57" t="s">
        <v>206</v>
      </c>
      <c r="F57">
        <v>-5600</v>
      </c>
      <c r="G57" t="s">
        <v>169</v>
      </c>
    </row>
    <row r="58" spans="1:7" x14ac:dyDescent="0.3">
      <c r="A58" s="42">
        <v>46206</v>
      </c>
      <c r="B58" s="43">
        <v>0.50975694444444442</v>
      </c>
      <c r="C58" t="s">
        <v>152</v>
      </c>
      <c r="D58" t="s">
        <v>45</v>
      </c>
      <c r="E58" t="s">
        <v>207</v>
      </c>
      <c r="F58">
        <v>-10000</v>
      </c>
      <c r="G58" t="s">
        <v>169</v>
      </c>
    </row>
    <row r="59" spans="1:7" x14ac:dyDescent="0.3">
      <c r="A59" s="42">
        <v>46206</v>
      </c>
      <c r="B59" s="43">
        <v>0.50891203703703702</v>
      </c>
      <c r="C59" t="s">
        <v>152</v>
      </c>
      <c r="D59" t="s">
        <v>45</v>
      </c>
      <c r="E59" t="s">
        <v>207</v>
      </c>
      <c r="F59">
        <v>-159600</v>
      </c>
      <c r="G59" t="s">
        <v>169</v>
      </c>
    </row>
    <row r="60" spans="1:7" x14ac:dyDescent="0.3">
      <c r="A60" s="42">
        <v>46206</v>
      </c>
      <c r="B60" s="43">
        <v>0.46508101851851852</v>
      </c>
      <c r="C60" t="s">
        <v>155</v>
      </c>
      <c r="D60" t="s">
        <v>155</v>
      </c>
      <c r="E60" t="s">
        <v>208</v>
      </c>
      <c r="F60">
        <v>-50000</v>
      </c>
      <c r="G60" t="s">
        <v>60</v>
      </c>
    </row>
    <row r="61" spans="1:7" x14ac:dyDescent="0.3">
      <c r="A61" s="42">
        <v>46205</v>
      </c>
      <c r="B61" s="43">
        <v>0.81178240740740737</v>
      </c>
      <c r="C61" t="s">
        <v>152</v>
      </c>
      <c r="D61" t="s">
        <v>44</v>
      </c>
      <c r="E61" t="s">
        <v>190</v>
      </c>
      <c r="F61">
        <v>-26900</v>
      </c>
      <c r="G61" t="s">
        <v>154</v>
      </c>
    </row>
    <row r="62" spans="1:7" x14ac:dyDescent="0.3">
      <c r="A62" s="42">
        <v>46205</v>
      </c>
      <c r="B62" s="43">
        <v>0.64571759259259254</v>
      </c>
      <c r="C62" t="s">
        <v>152</v>
      </c>
      <c r="D62" t="s">
        <v>50</v>
      </c>
      <c r="E62" t="s">
        <v>184</v>
      </c>
      <c r="F62">
        <v>-3200</v>
      </c>
      <c r="G62" t="s">
        <v>169</v>
      </c>
    </row>
    <row r="63" spans="1:7" x14ac:dyDescent="0.3">
      <c r="A63" s="42">
        <v>46205</v>
      </c>
      <c r="B63" s="43">
        <v>0.40155092592592601</v>
      </c>
      <c r="C63" t="s">
        <v>152</v>
      </c>
      <c r="D63" t="s">
        <v>50</v>
      </c>
      <c r="E63" t="s">
        <v>184</v>
      </c>
      <c r="F63">
        <v>-1600</v>
      </c>
      <c r="G63" t="s">
        <v>169</v>
      </c>
    </row>
    <row r="64" spans="1:7" x14ac:dyDescent="0.3">
      <c r="A64" s="42">
        <v>46205</v>
      </c>
      <c r="B64" s="43">
        <v>0</v>
      </c>
      <c r="C64" t="s">
        <v>152</v>
      </c>
      <c r="D64" t="s">
        <v>47</v>
      </c>
      <c r="E64" t="s">
        <v>209</v>
      </c>
      <c r="F64">
        <v>15000</v>
      </c>
      <c r="G64" t="s">
        <v>154</v>
      </c>
    </row>
    <row r="65" spans="1:7" x14ac:dyDescent="0.3">
      <c r="A65" s="42">
        <v>46204</v>
      </c>
      <c r="B65" s="43">
        <v>0.87880787037037034</v>
      </c>
      <c r="C65" t="s">
        <v>155</v>
      </c>
      <c r="D65" t="s">
        <v>155</v>
      </c>
      <c r="E65" t="s">
        <v>210</v>
      </c>
      <c r="F65">
        <v>213000</v>
      </c>
      <c r="G65" t="s">
        <v>60</v>
      </c>
    </row>
    <row r="66" spans="1:7" x14ac:dyDescent="0.3">
      <c r="A66" s="42">
        <v>46204</v>
      </c>
      <c r="B66" s="43">
        <v>0.86798611111111112</v>
      </c>
      <c r="C66" t="s">
        <v>152</v>
      </c>
      <c r="D66" t="s">
        <v>49</v>
      </c>
      <c r="E66" t="s">
        <v>211</v>
      </c>
      <c r="F66">
        <v>-11200</v>
      </c>
      <c r="G66" t="s">
        <v>169</v>
      </c>
    </row>
    <row r="67" spans="1:7" x14ac:dyDescent="0.3">
      <c r="A67" s="42">
        <v>46204</v>
      </c>
      <c r="B67" s="43">
        <v>0.85781249999999998</v>
      </c>
      <c r="C67" t="s">
        <v>155</v>
      </c>
      <c r="D67" t="s">
        <v>163</v>
      </c>
      <c r="E67" t="s">
        <v>164</v>
      </c>
      <c r="F67">
        <v>10000</v>
      </c>
      <c r="G67" t="s">
        <v>158</v>
      </c>
    </row>
    <row r="68" spans="1:7" x14ac:dyDescent="0.3">
      <c r="A68" s="42">
        <v>46204</v>
      </c>
      <c r="B68" s="43">
        <v>0.85781249999999998</v>
      </c>
      <c r="C68" t="s">
        <v>155</v>
      </c>
      <c r="D68" t="s">
        <v>155</v>
      </c>
      <c r="E68" t="s">
        <v>212</v>
      </c>
      <c r="F68">
        <v>-8000</v>
      </c>
      <c r="G68" t="s">
        <v>158</v>
      </c>
    </row>
    <row r="69" spans="1:7" x14ac:dyDescent="0.3">
      <c r="A69" s="42">
        <v>46204</v>
      </c>
      <c r="B69" s="43">
        <v>0.85781249999999998</v>
      </c>
      <c r="C69" t="s">
        <v>155</v>
      </c>
      <c r="D69" t="s">
        <v>155</v>
      </c>
      <c r="E69" t="s">
        <v>166</v>
      </c>
      <c r="F69">
        <v>-10000</v>
      </c>
      <c r="G69" t="s">
        <v>61</v>
      </c>
    </row>
    <row r="70" spans="1:7" x14ac:dyDescent="0.3">
      <c r="A70" s="42">
        <v>46204</v>
      </c>
      <c r="B70" s="43">
        <v>0.80269675925925921</v>
      </c>
      <c r="C70" t="s">
        <v>155</v>
      </c>
      <c r="D70" t="s">
        <v>213</v>
      </c>
      <c r="E70" t="s">
        <v>214</v>
      </c>
      <c r="F70">
        <v>-54680</v>
      </c>
      <c r="G70" t="s">
        <v>61</v>
      </c>
    </row>
    <row r="71" spans="1:7" x14ac:dyDescent="0.3">
      <c r="A71" s="42">
        <v>46204</v>
      </c>
      <c r="B71" s="43">
        <v>0.72594907407407405</v>
      </c>
      <c r="C71" t="s">
        <v>152</v>
      </c>
      <c r="D71" t="s">
        <v>39</v>
      </c>
      <c r="E71" t="s">
        <v>215</v>
      </c>
      <c r="F71">
        <v>22246</v>
      </c>
      <c r="G71" t="s">
        <v>199</v>
      </c>
    </row>
    <row r="72" spans="1:7" x14ac:dyDescent="0.3">
      <c r="A72" s="42">
        <v>46204</v>
      </c>
      <c r="B72" s="43">
        <v>0.72594907407407405</v>
      </c>
      <c r="C72" t="s">
        <v>152</v>
      </c>
      <c r="D72" t="s">
        <v>39</v>
      </c>
      <c r="E72" t="s">
        <v>215</v>
      </c>
      <c r="F72">
        <v>17654</v>
      </c>
      <c r="G72" t="s">
        <v>182</v>
      </c>
    </row>
    <row r="73" spans="1:7" x14ac:dyDescent="0.3">
      <c r="A73" s="42">
        <v>46204</v>
      </c>
      <c r="B73" s="43">
        <v>0.71769675925925924</v>
      </c>
      <c r="C73" t="s">
        <v>152</v>
      </c>
      <c r="D73" t="s">
        <v>39</v>
      </c>
      <c r="E73" t="s">
        <v>215</v>
      </c>
      <c r="F73">
        <v>-22246</v>
      </c>
      <c r="G73" t="s">
        <v>199</v>
      </c>
    </row>
    <row r="74" spans="1:7" x14ac:dyDescent="0.3">
      <c r="A74" s="42">
        <v>46204</v>
      </c>
      <c r="B74" s="43">
        <v>0.71769675925925924</v>
      </c>
      <c r="C74" t="s">
        <v>152</v>
      </c>
      <c r="D74" t="s">
        <v>39</v>
      </c>
      <c r="E74" t="s">
        <v>215</v>
      </c>
      <c r="F74">
        <v>-17654</v>
      </c>
      <c r="G74" t="s">
        <v>182</v>
      </c>
    </row>
    <row r="75" spans="1:7" x14ac:dyDescent="0.3">
      <c r="A75" s="42">
        <v>46204</v>
      </c>
      <c r="B75" s="43">
        <v>0.61773148148148149</v>
      </c>
      <c r="C75" t="s">
        <v>152</v>
      </c>
      <c r="D75" t="s">
        <v>47</v>
      </c>
      <c r="E75" t="s">
        <v>209</v>
      </c>
      <c r="F75">
        <v>-1500</v>
      </c>
      <c r="G75" t="s">
        <v>154</v>
      </c>
    </row>
    <row r="76" spans="1:7" x14ac:dyDescent="0.3">
      <c r="A76" s="42">
        <v>46204</v>
      </c>
      <c r="B76" s="43">
        <v>0.43884259259259262</v>
      </c>
      <c r="C76" t="s">
        <v>152</v>
      </c>
      <c r="D76" t="s">
        <v>50</v>
      </c>
      <c r="E76" t="s">
        <v>184</v>
      </c>
      <c r="F76">
        <v>-3200</v>
      </c>
      <c r="G76" t="s">
        <v>169</v>
      </c>
    </row>
    <row r="77" spans="1:7" x14ac:dyDescent="0.3">
      <c r="A77" s="42">
        <v>46203</v>
      </c>
      <c r="B77" s="43">
        <v>0.93978009259259254</v>
      </c>
      <c r="C77" t="s">
        <v>152</v>
      </c>
      <c r="D77" t="s">
        <v>37</v>
      </c>
      <c r="E77" t="s">
        <v>216</v>
      </c>
      <c r="F77">
        <v>-776330</v>
      </c>
      <c r="G77" t="s">
        <v>154</v>
      </c>
    </row>
    <row r="78" spans="1:7" x14ac:dyDescent="0.3">
      <c r="A78" s="42">
        <v>46203</v>
      </c>
      <c r="B78" s="43">
        <v>0.93646990740740743</v>
      </c>
      <c r="C78" t="s">
        <v>155</v>
      </c>
      <c r="D78" t="s">
        <v>217</v>
      </c>
      <c r="E78" t="s">
        <v>218</v>
      </c>
      <c r="F78">
        <v>1</v>
      </c>
      <c r="G78" t="s">
        <v>61</v>
      </c>
    </row>
    <row r="79" spans="1:7" x14ac:dyDescent="0.3">
      <c r="A79" s="42">
        <v>46203</v>
      </c>
      <c r="B79" s="43">
        <v>0.63734953703703701</v>
      </c>
      <c r="C79" t="s">
        <v>152</v>
      </c>
      <c r="D79" t="s">
        <v>47</v>
      </c>
      <c r="E79" t="s">
        <v>209</v>
      </c>
      <c r="F79">
        <v>-15000</v>
      </c>
      <c r="G79" t="s">
        <v>154</v>
      </c>
    </row>
    <row r="80" spans="1:7" x14ac:dyDescent="0.3">
      <c r="A80" s="42">
        <v>46203</v>
      </c>
      <c r="B80" s="43">
        <v>0.43358796296296298</v>
      </c>
      <c r="C80" t="s">
        <v>155</v>
      </c>
      <c r="D80" t="s">
        <v>155</v>
      </c>
      <c r="E80" t="s">
        <v>219</v>
      </c>
      <c r="F80">
        <v>-300000</v>
      </c>
      <c r="G80" t="s">
        <v>60</v>
      </c>
    </row>
    <row r="81" spans="1:7" x14ac:dyDescent="0.3">
      <c r="A81" s="42">
        <v>46203</v>
      </c>
      <c r="B81" s="43">
        <v>0.40104166666666669</v>
      </c>
      <c r="C81" t="s">
        <v>152</v>
      </c>
      <c r="D81" t="s">
        <v>50</v>
      </c>
      <c r="E81" t="s">
        <v>184</v>
      </c>
      <c r="F81">
        <v>-1600</v>
      </c>
      <c r="G81" t="s">
        <v>154</v>
      </c>
    </row>
    <row r="82" spans="1:7" x14ac:dyDescent="0.3">
      <c r="A82" s="42">
        <v>46202</v>
      </c>
      <c r="B82" s="43">
        <v>0.98798611111111112</v>
      </c>
      <c r="C82" t="s">
        <v>176</v>
      </c>
      <c r="D82" t="s">
        <v>28</v>
      </c>
      <c r="E82" t="s">
        <v>220</v>
      </c>
      <c r="F82">
        <v>1</v>
      </c>
      <c r="G82" t="s">
        <v>61</v>
      </c>
    </row>
    <row r="83" spans="1:7" x14ac:dyDescent="0.3">
      <c r="A83" s="42">
        <v>46202</v>
      </c>
      <c r="B83" s="43">
        <v>0.87567129629629625</v>
      </c>
      <c r="C83" t="s">
        <v>152</v>
      </c>
      <c r="D83" t="s">
        <v>37</v>
      </c>
      <c r="E83" t="s">
        <v>221</v>
      </c>
      <c r="F83">
        <v>-3390000</v>
      </c>
      <c r="G83" t="s">
        <v>61</v>
      </c>
    </row>
    <row r="84" spans="1:7" x14ac:dyDescent="0.3">
      <c r="A84" s="42">
        <v>46202</v>
      </c>
      <c r="B84" s="43">
        <v>0.78910879629629627</v>
      </c>
      <c r="C84" t="s">
        <v>152</v>
      </c>
      <c r="D84" t="s">
        <v>47</v>
      </c>
      <c r="E84" t="s">
        <v>222</v>
      </c>
      <c r="F84">
        <v>-83000</v>
      </c>
      <c r="G84" t="s">
        <v>154</v>
      </c>
    </row>
    <row r="85" spans="1:7" x14ac:dyDescent="0.3">
      <c r="A85" s="42">
        <v>46202</v>
      </c>
      <c r="B85" s="43">
        <v>0.49255787037037041</v>
      </c>
      <c r="C85" t="s">
        <v>155</v>
      </c>
      <c r="D85" t="s">
        <v>163</v>
      </c>
      <c r="E85" t="s">
        <v>223</v>
      </c>
      <c r="F85">
        <v>385</v>
      </c>
      <c r="G85" t="s">
        <v>68</v>
      </c>
    </row>
    <row r="86" spans="1:7" x14ac:dyDescent="0.3">
      <c r="A86" s="42">
        <v>46202</v>
      </c>
      <c r="B86" s="43">
        <v>0.49255787037037041</v>
      </c>
      <c r="C86" t="s">
        <v>155</v>
      </c>
      <c r="D86" t="s">
        <v>163</v>
      </c>
      <c r="E86" t="s">
        <v>68</v>
      </c>
      <c r="F86">
        <v>-385</v>
      </c>
      <c r="G86" t="s">
        <v>67</v>
      </c>
    </row>
    <row r="87" spans="1:7" x14ac:dyDescent="0.3">
      <c r="A87" s="42">
        <v>46202</v>
      </c>
      <c r="B87" s="43">
        <v>0.44569444444444439</v>
      </c>
      <c r="C87" t="s">
        <v>152</v>
      </c>
      <c r="D87" t="s">
        <v>49</v>
      </c>
      <c r="E87" t="s">
        <v>224</v>
      </c>
      <c r="F87">
        <v>-2000</v>
      </c>
      <c r="G87" t="s">
        <v>154</v>
      </c>
    </row>
    <row r="88" spans="1:7" x14ac:dyDescent="0.3">
      <c r="A88" s="42">
        <v>46202</v>
      </c>
      <c r="B88" s="43">
        <v>0.4110300925925926</v>
      </c>
      <c r="C88" t="s">
        <v>152</v>
      </c>
      <c r="D88" t="s">
        <v>36</v>
      </c>
      <c r="E88" t="s">
        <v>225</v>
      </c>
      <c r="F88">
        <v>-250</v>
      </c>
      <c r="G88" t="s">
        <v>161</v>
      </c>
    </row>
    <row r="89" spans="1:7" x14ac:dyDescent="0.3">
      <c r="A89" s="42">
        <v>46202</v>
      </c>
      <c r="B89" s="43">
        <v>0.4110300925925926</v>
      </c>
      <c r="C89" t="s">
        <v>152</v>
      </c>
      <c r="D89" t="s">
        <v>36</v>
      </c>
      <c r="E89" t="s">
        <v>226</v>
      </c>
      <c r="F89">
        <v>-3150</v>
      </c>
      <c r="G89" t="s">
        <v>161</v>
      </c>
    </row>
    <row r="90" spans="1:7" x14ac:dyDescent="0.3">
      <c r="A90" s="42">
        <v>46202</v>
      </c>
      <c r="B90" s="43">
        <v>0.31789351851851849</v>
      </c>
      <c r="C90" t="s">
        <v>152</v>
      </c>
      <c r="D90" t="s">
        <v>44</v>
      </c>
      <c r="E90" t="s">
        <v>190</v>
      </c>
      <c r="F90">
        <v>-6900</v>
      </c>
      <c r="G90" t="s">
        <v>154</v>
      </c>
    </row>
    <row r="91" spans="1:7" x14ac:dyDescent="0.3">
      <c r="A91" s="42">
        <v>46201</v>
      </c>
      <c r="B91" s="43">
        <v>0.84767361111111106</v>
      </c>
      <c r="C91" t="s">
        <v>152</v>
      </c>
      <c r="D91" t="s">
        <v>49</v>
      </c>
      <c r="E91" t="s">
        <v>227</v>
      </c>
      <c r="F91">
        <v>-2400</v>
      </c>
      <c r="G91" t="s">
        <v>154</v>
      </c>
    </row>
    <row r="92" spans="1:7" x14ac:dyDescent="0.3">
      <c r="A92" s="42">
        <v>46201</v>
      </c>
      <c r="B92" s="43">
        <v>0.80395833333333333</v>
      </c>
      <c r="C92" t="s">
        <v>155</v>
      </c>
      <c r="D92" t="s">
        <v>155</v>
      </c>
      <c r="E92" t="s">
        <v>228</v>
      </c>
      <c r="F92">
        <v>1</v>
      </c>
      <c r="G92" t="s">
        <v>61</v>
      </c>
    </row>
    <row r="93" spans="1:7" x14ac:dyDescent="0.3">
      <c r="A93" s="42">
        <v>46201</v>
      </c>
      <c r="B93" s="43">
        <v>0.66053240740740737</v>
      </c>
      <c r="C93" t="s">
        <v>152</v>
      </c>
      <c r="D93" t="s">
        <v>43</v>
      </c>
      <c r="E93" t="s">
        <v>229</v>
      </c>
      <c r="F93">
        <v>-7500</v>
      </c>
      <c r="G93" t="s">
        <v>154</v>
      </c>
    </row>
    <row r="94" spans="1:7" x14ac:dyDescent="0.3">
      <c r="A94" s="42">
        <v>46201</v>
      </c>
      <c r="B94" s="43">
        <v>0.60291666666666666</v>
      </c>
      <c r="C94" t="s">
        <v>152</v>
      </c>
      <c r="D94" t="s">
        <v>50</v>
      </c>
      <c r="E94" t="s">
        <v>230</v>
      </c>
      <c r="F94">
        <v>-4600</v>
      </c>
      <c r="G94" t="s">
        <v>154</v>
      </c>
    </row>
    <row r="95" spans="1:7" x14ac:dyDescent="0.3">
      <c r="A95" s="42">
        <v>46201</v>
      </c>
      <c r="B95" s="43">
        <v>0.55714120370370368</v>
      </c>
      <c r="C95" t="s">
        <v>152</v>
      </c>
      <c r="D95" t="s">
        <v>50</v>
      </c>
      <c r="E95" t="s">
        <v>231</v>
      </c>
      <c r="F95">
        <v>-28000</v>
      </c>
      <c r="G95" t="s">
        <v>169</v>
      </c>
    </row>
    <row r="96" spans="1:7" x14ac:dyDescent="0.3">
      <c r="A96" s="42">
        <v>46201</v>
      </c>
      <c r="B96" s="43">
        <v>0.43225694444444451</v>
      </c>
      <c r="C96" t="s">
        <v>152</v>
      </c>
      <c r="D96" t="s">
        <v>36</v>
      </c>
      <c r="E96" t="s">
        <v>232</v>
      </c>
      <c r="F96">
        <v>-1550</v>
      </c>
      <c r="G96" t="s">
        <v>161</v>
      </c>
    </row>
    <row r="97" spans="1:7" x14ac:dyDescent="0.3">
      <c r="A97" s="42">
        <v>46201</v>
      </c>
      <c r="B97" s="43">
        <v>0.43225694444444451</v>
      </c>
      <c r="C97" t="s">
        <v>152</v>
      </c>
      <c r="D97" t="s">
        <v>36</v>
      </c>
      <c r="E97" t="s">
        <v>226</v>
      </c>
      <c r="F97">
        <v>-1750</v>
      </c>
      <c r="G97" t="s">
        <v>161</v>
      </c>
    </row>
    <row r="98" spans="1:7" x14ac:dyDescent="0.3">
      <c r="A98" s="42">
        <v>46201</v>
      </c>
      <c r="B98" s="43">
        <v>0.39225694444444442</v>
      </c>
      <c r="C98" t="s">
        <v>155</v>
      </c>
      <c r="D98" t="s">
        <v>156</v>
      </c>
      <c r="E98" t="s">
        <v>233</v>
      </c>
      <c r="F98">
        <v>-50</v>
      </c>
      <c r="G98" t="s">
        <v>64</v>
      </c>
    </row>
    <row r="99" spans="1:7" x14ac:dyDescent="0.3">
      <c r="A99" s="42">
        <v>46201</v>
      </c>
      <c r="B99" s="43">
        <v>0.39225694444444442</v>
      </c>
      <c r="C99" t="s">
        <v>155</v>
      </c>
      <c r="D99" t="s">
        <v>156</v>
      </c>
      <c r="E99" t="s">
        <v>234</v>
      </c>
      <c r="F99">
        <v>412</v>
      </c>
      <c r="G99" t="s">
        <v>64</v>
      </c>
    </row>
    <row r="100" spans="1:7" x14ac:dyDescent="0.3">
      <c r="A100" s="42">
        <v>46200</v>
      </c>
      <c r="B100" s="43">
        <v>0.89082175925925922</v>
      </c>
      <c r="C100" t="s">
        <v>155</v>
      </c>
      <c r="D100" t="s">
        <v>163</v>
      </c>
      <c r="E100" t="s">
        <v>164</v>
      </c>
      <c r="F100">
        <v>10000</v>
      </c>
      <c r="G100" t="s">
        <v>158</v>
      </c>
    </row>
    <row r="101" spans="1:7" x14ac:dyDescent="0.3">
      <c r="A101" s="42">
        <v>46200</v>
      </c>
      <c r="B101" s="43">
        <v>0.89082175925925922</v>
      </c>
      <c r="C101" t="s">
        <v>152</v>
      </c>
      <c r="D101" t="s">
        <v>44</v>
      </c>
      <c r="E101" t="s">
        <v>235</v>
      </c>
      <c r="F101">
        <v>-3900</v>
      </c>
      <c r="G101" t="s">
        <v>236</v>
      </c>
    </row>
    <row r="102" spans="1:7" x14ac:dyDescent="0.3">
      <c r="A102" s="42">
        <v>46200</v>
      </c>
      <c r="B102" s="43">
        <v>0.89082175925925922</v>
      </c>
      <c r="C102" t="s">
        <v>155</v>
      </c>
      <c r="D102" t="s">
        <v>163</v>
      </c>
      <c r="E102" t="s">
        <v>166</v>
      </c>
      <c r="F102">
        <v>-10000</v>
      </c>
      <c r="G102" t="s">
        <v>61</v>
      </c>
    </row>
    <row r="103" spans="1:7" x14ac:dyDescent="0.3">
      <c r="A103" s="42">
        <v>46200</v>
      </c>
      <c r="B103" s="43">
        <v>0.87847222222222221</v>
      </c>
      <c r="C103" t="s">
        <v>176</v>
      </c>
      <c r="D103" t="s">
        <v>30</v>
      </c>
      <c r="E103" t="s">
        <v>237</v>
      </c>
      <c r="F103">
        <v>1</v>
      </c>
      <c r="G103" t="s">
        <v>61</v>
      </c>
    </row>
    <row r="104" spans="1:7" x14ac:dyDescent="0.3">
      <c r="A104" s="42">
        <v>46200</v>
      </c>
      <c r="B104" s="43">
        <v>0.67020833333333329</v>
      </c>
      <c r="C104" t="s">
        <v>155</v>
      </c>
      <c r="D104" t="s">
        <v>155</v>
      </c>
      <c r="E104" t="s">
        <v>238</v>
      </c>
      <c r="F104">
        <v>-30000</v>
      </c>
      <c r="G104" t="s">
        <v>60</v>
      </c>
    </row>
    <row r="105" spans="1:7" x14ac:dyDescent="0.3">
      <c r="A105" s="42">
        <v>46200</v>
      </c>
      <c r="B105" s="43">
        <v>0.4557060185185185</v>
      </c>
      <c r="C105" t="s">
        <v>152</v>
      </c>
      <c r="D105" t="s">
        <v>36</v>
      </c>
      <c r="E105" t="s">
        <v>239</v>
      </c>
      <c r="F105">
        <v>-1000</v>
      </c>
      <c r="G105" t="s">
        <v>236</v>
      </c>
    </row>
    <row r="106" spans="1:7" x14ac:dyDescent="0.3">
      <c r="A106" s="42">
        <v>46200</v>
      </c>
      <c r="B106" s="43">
        <v>0.40989583333333329</v>
      </c>
      <c r="C106" t="s">
        <v>152</v>
      </c>
      <c r="D106" t="s">
        <v>36</v>
      </c>
      <c r="E106" t="s">
        <v>225</v>
      </c>
      <c r="F106">
        <v>-250</v>
      </c>
      <c r="G106" t="s">
        <v>161</v>
      </c>
    </row>
    <row r="107" spans="1:7" x14ac:dyDescent="0.3">
      <c r="A107" s="42">
        <v>46200</v>
      </c>
      <c r="B107" s="43">
        <v>0.40989583333333329</v>
      </c>
      <c r="C107" t="s">
        <v>152</v>
      </c>
      <c r="D107" t="s">
        <v>36</v>
      </c>
      <c r="E107" t="s">
        <v>226</v>
      </c>
      <c r="F107">
        <v>-3150</v>
      </c>
      <c r="G107" t="s">
        <v>161</v>
      </c>
    </row>
    <row r="108" spans="1:7" x14ac:dyDescent="0.3">
      <c r="A108" s="42">
        <v>46200</v>
      </c>
      <c r="B108" s="43">
        <v>0.18358796296296301</v>
      </c>
      <c r="C108" t="s">
        <v>176</v>
      </c>
      <c r="D108" t="s">
        <v>28</v>
      </c>
      <c r="E108" t="s">
        <v>240</v>
      </c>
      <c r="F108">
        <v>385</v>
      </c>
      <c r="G108" t="s">
        <v>67</v>
      </c>
    </row>
    <row r="109" spans="1:7" x14ac:dyDescent="0.3">
      <c r="A109" s="42">
        <v>46200</v>
      </c>
      <c r="B109" s="43">
        <v>0.1754050925925926</v>
      </c>
      <c r="C109" t="s">
        <v>176</v>
      </c>
      <c r="D109" t="s">
        <v>28</v>
      </c>
      <c r="E109" t="s">
        <v>240</v>
      </c>
      <c r="F109">
        <v>484</v>
      </c>
      <c r="G109" t="s">
        <v>67</v>
      </c>
    </row>
    <row r="110" spans="1:7" x14ac:dyDescent="0.3">
      <c r="A110" s="42">
        <v>46200</v>
      </c>
      <c r="B110" s="43">
        <v>0.1476851851851852</v>
      </c>
      <c r="C110" t="s">
        <v>176</v>
      </c>
      <c r="D110" t="s">
        <v>28</v>
      </c>
      <c r="E110" t="s">
        <v>241</v>
      </c>
      <c r="F110">
        <v>0</v>
      </c>
      <c r="G110" t="s">
        <v>63</v>
      </c>
    </row>
    <row r="111" spans="1:7" x14ac:dyDescent="0.3">
      <c r="A111" s="42">
        <v>46200</v>
      </c>
      <c r="B111" s="43">
        <v>8.3020833333333335E-2</v>
      </c>
      <c r="C111" t="s">
        <v>155</v>
      </c>
      <c r="D111" t="s">
        <v>217</v>
      </c>
      <c r="E111" t="s">
        <v>242</v>
      </c>
      <c r="F111">
        <v>134</v>
      </c>
      <c r="G111" t="s">
        <v>68</v>
      </c>
    </row>
    <row r="112" spans="1:7" x14ac:dyDescent="0.3">
      <c r="A112" s="42">
        <v>46199</v>
      </c>
      <c r="B112" s="43">
        <v>0.41120370370370368</v>
      </c>
      <c r="C112" t="s">
        <v>152</v>
      </c>
      <c r="D112" t="s">
        <v>36</v>
      </c>
      <c r="E112" t="s">
        <v>243</v>
      </c>
      <c r="F112">
        <v>-1500</v>
      </c>
      <c r="G112" t="s">
        <v>161</v>
      </c>
    </row>
    <row r="113" spans="1:7" x14ac:dyDescent="0.3">
      <c r="A113" s="42">
        <v>46199</v>
      </c>
      <c r="B113" s="43">
        <v>0.41120370370370368</v>
      </c>
      <c r="C113" t="s">
        <v>152</v>
      </c>
      <c r="D113" t="s">
        <v>36</v>
      </c>
      <c r="E113" t="s">
        <v>244</v>
      </c>
      <c r="F113">
        <v>-1800</v>
      </c>
      <c r="G113" t="s">
        <v>161</v>
      </c>
    </row>
    <row r="114" spans="1:7" x14ac:dyDescent="0.3">
      <c r="A114" s="42">
        <v>46198</v>
      </c>
      <c r="B114" s="43">
        <v>0.84392361111111114</v>
      </c>
      <c r="C114" t="s">
        <v>152</v>
      </c>
      <c r="D114" t="s">
        <v>37</v>
      </c>
      <c r="E114" t="s">
        <v>245</v>
      </c>
      <c r="F114">
        <v>-20000</v>
      </c>
      <c r="G114" t="s">
        <v>61</v>
      </c>
    </row>
    <row r="115" spans="1:7" x14ac:dyDescent="0.3">
      <c r="A115" s="42">
        <v>46198</v>
      </c>
      <c r="B115" s="43">
        <v>0.8090046296296296</v>
      </c>
      <c r="C115" t="s">
        <v>152</v>
      </c>
      <c r="D115" t="s">
        <v>37</v>
      </c>
      <c r="E115" t="s">
        <v>246</v>
      </c>
      <c r="F115">
        <v>-153178</v>
      </c>
      <c r="G115" t="s">
        <v>60</v>
      </c>
    </row>
    <row r="116" spans="1:7" x14ac:dyDescent="0.3">
      <c r="A116" s="42">
        <v>46198</v>
      </c>
      <c r="B116" s="43">
        <v>0.80721064814814814</v>
      </c>
      <c r="C116" t="s">
        <v>152</v>
      </c>
      <c r="D116" t="s">
        <v>40</v>
      </c>
      <c r="E116" t="s">
        <v>247</v>
      </c>
      <c r="F116">
        <v>-258304</v>
      </c>
      <c r="G116" t="s">
        <v>61</v>
      </c>
    </row>
    <row r="117" spans="1:7" x14ac:dyDescent="0.3">
      <c r="A117" s="42">
        <v>46198</v>
      </c>
      <c r="B117" s="43">
        <v>0.65181712962962968</v>
      </c>
      <c r="C117" t="s">
        <v>152</v>
      </c>
      <c r="D117" t="s">
        <v>40</v>
      </c>
      <c r="E117" t="s">
        <v>248</v>
      </c>
      <c r="F117">
        <v>-3900</v>
      </c>
      <c r="G117" t="s">
        <v>180</v>
      </c>
    </row>
    <row r="118" spans="1:7" x14ac:dyDescent="0.3">
      <c r="A118" s="42">
        <v>46198</v>
      </c>
      <c r="B118" s="43">
        <v>0.41107638888888892</v>
      </c>
      <c r="C118" t="s">
        <v>152</v>
      </c>
      <c r="D118" t="s">
        <v>36</v>
      </c>
      <c r="E118" t="s">
        <v>243</v>
      </c>
      <c r="F118">
        <v>-100</v>
      </c>
      <c r="G118" t="s">
        <v>161</v>
      </c>
    </row>
    <row r="119" spans="1:7" x14ac:dyDescent="0.3">
      <c r="A119" s="42">
        <v>46198</v>
      </c>
      <c r="B119" s="43">
        <v>0.41107638888888892</v>
      </c>
      <c r="C119" t="s">
        <v>152</v>
      </c>
      <c r="D119" t="s">
        <v>36</v>
      </c>
      <c r="E119" t="s">
        <v>225</v>
      </c>
      <c r="F119">
        <v>-3200</v>
      </c>
      <c r="G119" t="s">
        <v>161</v>
      </c>
    </row>
    <row r="120" spans="1:7" x14ac:dyDescent="0.3">
      <c r="A120" s="42">
        <v>46198</v>
      </c>
      <c r="B120" s="43">
        <v>0.33031250000000001</v>
      </c>
      <c r="C120" t="s">
        <v>152</v>
      </c>
      <c r="D120" t="s">
        <v>44</v>
      </c>
      <c r="E120" t="s">
        <v>190</v>
      </c>
      <c r="F120">
        <v>-6900</v>
      </c>
      <c r="G120" t="s">
        <v>154</v>
      </c>
    </row>
    <row r="121" spans="1:7" x14ac:dyDescent="0.3">
      <c r="A121" s="42">
        <v>46198</v>
      </c>
      <c r="B121" s="43">
        <v>5.4305555555555558E-2</v>
      </c>
      <c r="C121" t="s">
        <v>176</v>
      </c>
      <c r="D121" t="s">
        <v>29</v>
      </c>
      <c r="E121" t="s">
        <v>249</v>
      </c>
      <c r="F121">
        <v>100000</v>
      </c>
      <c r="G121" t="s">
        <v>64</v>
      </c>
    </row>
    <row r="122" spans="1:7" x14ac:dyDescent="0.3">
      <c r="A122" s="42">
        <v>46197</v>
      </c>
      <c r="B122" s="43">
        <v>0.5047800925925926</v>
      </c>
      <c r="C122" t="s">
        <v>152</v>
      </c>
      <c r="D122" t="s">
        <v>50</v>
      </c>
      <c r="E122" t="s">
        <v>184</v>
      </c>
      <c r="F122">
        <v>-4800</v>
      </c>
      <c r="G122" t="s">
        <v>154</v>
      </c>
    </row>
    <row r="123" spans="1:7" x14ac:dyDescent="0.3">
      <c r="A123" s="42">
        <v>46197</v>
      </c>
      <c r="B123" s="43">
        <v>0.16101851851851851</v>
      </c>
      <c r="C123" t="s">
        <v>152</v>
      </c>
      <c r="D123" t="s">
        <v>36</v>
      </c>
      <c r="E123" t="s">
        <v>250</v>
      </c>
      <c r="F123">
        <v>-46200</v>
      </c>
      <c r="G123" t="s">
        <v>180</v>
      </c>
    </row>
    <row r="124" spans="1:7" x14ac:dyDescent="0.3">
      <c r="A124" s="42">
        <v>46197</v>
      </c>
      <c r="B124" s="43">
        <v>0.16037037037037041</v>
      </c>
      <c r="C124" t="s">
        <v>152</v>
      </c>
      <c r="D124" t="s">
        <v>36</v>
      </c>
      <c r="E124" t="s">
        <v>250</v>
      </c>
      <c r="F124">
        <v>-45900</v>
      </c>
      <c r="G124" t="s">
        <v>180</v>
      </c>
    </row>
    <row r="125" spans="1:7" x14ac:dyDescent="0.3">
      <c r="A125" s="42">
        <v>46197</v>
      </c>
      <c r="B125" s="43">
        <v>4.2372685185185187E-2</v>
      </c>
      <c r="C125" t="s">
        <v>152</v>
      </c>
      <c r="D125" t="s">
        <v>48</v>
      </c>
      <c r="E125" t="s">
        <v>251</v>
      </c>
      <c r="F125">
        <v>-300</v>
      </c>
      <c r="G125" t="s">
        <v>154</v>
      </c>
    </row>
    <row r="126" spans="1:7" x14ac:dyDescent="0.3">
      <c r="A126" s="42">
        <v>46196</v>
      </c>
      <c r="B126" s="43">
        <v>0.92603009259259261</v>
      </c>
      <c r="C126" t="s">
        <v>152</v>
      </c>
      <c r="D126" t="s">
        <v>44</v>
      </c>
      <c r="E126" t="s">
        <v>190</v>
      </c>
      <c r="F126">
        <v>-25560</v>
      </c>
      <c r="G126" t="s">
        <v>154</v>
      </c>
    </row>
    <row r="127" spans="1:7" x14ac:dyDescent="0.3">
      <c r="A127" s="42">
        <v>46196</v>
      </c>
      <c r="B127" s="43">
        <v>0.86628472222222219</v>
      </c>
      <c r="C127" t="s">
        <v>152</v>
      </c>
      <c r="D127" t="s">
        <v>40</v>
      </c>
      <c r="E127" t="s">
        <v>252</v>
      </c>
      <c r="F127">
        <v>-9750</v>
      </c>
      <c r="G127" t="s">
        <v>154</v>
      </c>
    </row>
    <row r="128" spans="1:7" x14ac:dyDescent="0.3">
      <c r="A128" s="42">
        <v>46196</v>
      </c>
      <c r="B128" s="43">
        <v>0.83956018518518516</v>
      </c>
      <c r="C128" t="s">
        <v>152</v>
      </c>
      <c r="D128" t="s">
        <v>48</v>
      </c>
      <c r="E128" t="s">
        <v>253</v>
      </c>
      <c r="F128">
        <v>-1000</v>
      </c>
      <c r="G128" t="s">
        <v>154</v>
      </c>
    </row>
    <row r="129" spans="1:7" x14ac:dyDescent="0.3">
      <c r="A129" s="42">
        <v>46196</v>
      </c>
      <c r="B129" s="43">
        <v>0.82797453703703705</v>
      </c>
      <c r="C129" t="s">
        <v>152</v>
      </c>
      <c r="D129" t="s">
        <v>37</v>
      </c>
      <c r="E129" t="s">
        <v>254</v>
      </c>
      <c r="F129">
        <v>-16900</v>
      </c>
      <c r="G129" t="s">
        <v>60</v>
      </c>
    </row>
    <row r="130" spans="1:7" x14ac:dyDescent="0.3">
      <c r="A130" s="42">
        <v>46196</v>
      </c>
      <c r="B130" s="43">
        <v>0.81756944444444446</v>
      </c>
      <c r="C130" t="s">
        <v>152</v>
      </c>
      <c r="D130" t="s">
        <v>37</v>
      </c>
      <c r="E130" t="s">
        <v>255</v>
      </c>
      <c r="F130">
        <v>-14261</v>
      </c>
      <c r="G130" t="s">
        <v>61</v>
      </c>
    </row>
    <row r="131" spans="1:7" x14ac:dyDescent="0.3">
      <c r="A131" s="42">
        <v>46196</v>
      </c>
      <c r="B131" s="43">
        <v>0.7596180555555555</v>
      </c>
      <c r="C131" t="s">
        <v>152</v>
      </c>
      <c r="D131" t="s">
        <v>37</v>
      </c>
      <c r="E131" t="s">
        <v>256</v>
      </c>
      <c r="F131">
        <v>-135650</v>
      </c>
      <c r="G131" t="s">
        <v>67</v>
      </c>
    </row>
    <row r="132" spans="1:7" x14ac:dyDescent="0.3">
      <c r="A132" s="42">
        <v>46196</v>
      </c>
      <c r="B132" s="43">
        <v>0.34043981481481478</v>
      </c>
      <c r="C132" t="s">
        <v>152</v>
      </c>
      <c r="D132" t="s">
        <v>40</v>
      </c>
      <c r="E132" t="s">
        <v>257</v>
      </c>
      <c r="F132">
        <v>-6000</v>
      </c>
      <c r="G132" t="s">
        <v>174</v>
      </c>
    </row>
    <row r="133" spans="1:7" x14ac:dyDescent="0.3">
      <c r="A133" s="42">
        <v>46196</v>
      </c>
      <c r="B133" s="43">
        <v>0.16836805555555559</v>
      </c>
      <c r="C133" t="s">
        <v>152</v>
      </c>
      <c r="D133" t="s">
        <v>37</v>
      </c>
      <c r="E133" t="s">
        <v>258</v>
      </c>
      <c r="F133">
        <v>-268273</v>
      </c>
      <c r="G133" t="s">
        <v>64</v>
      </c>
    </row>
    <row r="134" spans="1:7" x14ac:dyDescent="0.3">
      <c r="A134" s="42">
        <v>46196</v>
      </c>
      <c r="B134" s="43">
        <v>0</v>
      </c>
      <c r="C134" t="s">
        <v>152</v>
      </c>
      <c r="D134" t="s">
        <v>44</v>
      </c>
      <c r="E134" t="s">
        <v>259</v>
      </c>
      <c r="F134">
        <v>1576754</v>
      </c>
      <c r="G134" t="s">
        <v>169</v>
      </c>
    </row>
    <row r="135" spans="1:7" x14ac:dyDescent="0.3">
      <c r="A135" s="42">
        <v>46195</v>
      </c>
      <c r="B135" s="43">
        <v>0.24592592592592591</v>
      </c>
      <c r="C135" t="s">
        <v>152</v>
      </c>
      <c r="D135" t="s">
        <v>40</v>
      </c>
      <c r="E135" t="s">
        <v>260</v>
      </c>
      <c r="F135">
        <v>-76410</v>
      </c>
      <c r="G135" t="s">
        <v>199</v>
      </c>
    </row>
    <row r="136" spans="1:7" x14ac:dyDescent="0.3">
      <c r="A136" s="42">
        <v>46195</v>
      </c>
      <c r="B136" s="43">
        <v>0.24592592592592591</v>
      </c>
      <c r="C136" t="s">
        <v>152</v>
      </c>
      <c r="D136" t="s">
        <v>40</v>
      </c>
      <c r="E136" t="s">
        <v>260</v>
      </c>
      <c r="F136">
        <v>-1441640</v>
      </c>
      <c r="G136" t="s">
        <v>182</v>
      </c>
    </row>
    <row r="137" spans="1:7" x14ac:dyDescent="0.3">
      <c r="A137" s="42">
        <v>46195</v>
      </c>
      <c r="B137" s="43">
        <v>0.2398726851851852</v>
      </c>
      <c r="C137" t="s">
        <v>152</v>
      </c>
      <c r="D137" t="s">
        <v>40</v>
      </c>
      <c r="E137" t="s">
        <v>260</v>
      </c>
      <c r="F137">
        <v>1576754</v>
      </c>
      <c r="G137" t="s">
        <v>182</v>
      </c>
    </row>
    <row r="138" spans="1:7" x14ac:dyDescent="0.3">
      <c r="A138" s="42">
        <v>46195</v>
      </c>
      <c r="B138" s="43">
        <v>0.2398726851851852</v>
      </c>
      <c r="C138" t="s">
        <v>152</v>
      </c>
      <c r="D138" t="s">
        <v>40</v>
      </c>
      <c r="E138" t="s">
        <v>260</v>
      </c>
      <c r="F138">
        <v>22246</v>
      </c>
      <c r="G138" t="s">
        <v>199</v>
      </c>
    </row>
    <row r="139" spans="1:7" x14ac:dyDescent="0.3">
      <c r="A139" s="42">
        <v>46194</v>
      </c>
      <c r="B139" s="43">
        <v>0.93590277777777775</v>
      </c>
      <c r="C139" t="s">
        <v>152</v>
      </c>
      <c r="D139" t="s">
        <v>40</v>
      </c>
      <c r="E139" t="s">
        <v>260</v>
      </c>
      <c r="F139">
        <v>-22246</v>
      </c>
      <c r="G139" t="s">
        <v>199</v>
      </c>
    </row>
    <row r="140" spans="1:7" x14ac:dyDescent="0.3">
      <c r="A140" s="42">
        <v>46194</v>
      </c>
      <c r="B140" s="43">
        <v>0.93590277777777775</v>
      </c>
      <c r="C140" t="s">
        <v>152</v>
      </c>
      <c r="D140" t="s">
        <v>40</v>
      </c>
      <c r="E140" t="s">
        <v>260</v>
      </c>
      <c r="F140">
        <v>-1576754</v>
      </c>
      <c r="G140" t="s">
        <v>182</v>
      </c>
    </row>
    <row r="141" spans="1:7" x14ac:dyDescent="0.3">
      <c r="A141" s="42">
        <v>46194</v>
      </c>
      <c r="B141" s="43">
        <v>0.93395833333333333</v>
      </c>
      <c r="C141" t="s">
        <v>152</v>
      </c>
      <c r="D141" t="s">
        <v>40</v>
      </c>
      <c r="E141" t="s">
        <v>260</v>
      </c>
      <c r="F141">
        <v>30163</v>
      </c>
      <c r="G141" t="s">
        <v>199</v>
      </c>
    </row>
    <row r="142" spans="1:7" x14ac:dyDescent="0.3">
      <c r="A142" s="42">
        <v>46194</v>
      </c>
      <c r="B142" s="43">
        <v>0.93395833333333333</v>
      </c>
      <c r="C142" t="s">
        <v>152</v>
      </c>
      <c r="D142" t="s">
        <v>37</v>
      </c>
      <c r="E142" t="s">
        <v>261</v>
      </c>
      <c r="F142">
        <v>1568837</v>
      </c>
      <c r="G142" t="s">
        <v>169</v>
      </c>
    </row>
    <row r="143" spans="1:7" x14ac:dyDescent="0.3">
      <c r="A143" s="42">
        <v>46194</v>
      </c>
      <c r="B143" s="43">
        <v>0.93356481481481479</v>
      </c>
      <c r="C143" t="s">
        <v>152</v>
      </c>
      <c r="D143" t="s">
        <v>37</v>
      </c>
      <c r="E143" t="s">
        <v>261</v>
      </c>
      <c r="F143">
        <v>-1568837</v>
      </c>
      <c r="G143" t="s">
        <v>169</v>
      </c>
    </row>
    <row r="144" spans="1:7" x14ac:dyDescent="0.3">
      <c r="A144" s="42">
        <v>46194</v>
      </c>
      <c r="B144" s="43">
        <v>0.93337962962962961</v>
      </c>
      <c r="C144" t="s">
        <v>152</v>
      </c>
      <c r="D144" t="s">
        <v>40</v>
      </c>
      <c r="E144" t="s">
        <v>260</v>
      </c>
      <c r="F144">
        <v>-30163</v>
      </c>
      <c r="G144" t="s">
        <v>199</v>
      </c>
    </row>
    <row r="145" spans="1:7" x14ac:dyDescent="0.3">
      <c r="A145" s="42">
        <v>46194</v>
      </c>
      <c r="B145" s="43">
        <v>0.6335763888888889</v>
      </c>
      <c r="C145" t="s">
        <v>152</v>
      </c>
      <c r="D145" t="s">
        <v>40</v>
      </c>
      <c r="E145" t="s">
        <v>171</v>
      </c>
      <c r="F145">
        <v>1840500</v>
      </c>
      <c r="G145" t="s">
        <v>154</v>
      </c>
    </row>
    <row r="146" spans="1:7" x14ac:dyDescent="0.3">
      <c r="A146" s="42">
        <v>46194</v>
      </c>
      <c r="B146" s="43">
        <v>0.58291666666666664</v>
      </c>
      <c r="C146" t="s">
        <v>152</v>
      </c>
      <c r="D146" t="s">
        <v>40</v>
      </c>
      <c r="E146" t="s">
        <v>262</v>
      </c>
      <c r="F146">
        <v>-7000</v>
      </c>
      <c r="G146" t="s">
        <v>186</v>
      </c>
    </row>
    <row r="147" spans="1:7" x14ac:dyDescent="0.3">
      <c r="A147" s="42">
        <v>46194</v>
      </c>
      <c r="B147" s="43">
        <v>0.55053240740740739</v>
      </c>
      <c r="C147" t="s">
        <v>152</v>
      </c>
      <c r="D147" t="s">
        <v>49</v>
      </c>
      <c r="E147" t="s">
        <v>263</v>
      </c>
      <c r="F147">
        <v>-3500</v>
      </c>
      <c r="G147" t="s">
        <v>186</v>
      </c>
    </row>
    <row r="148" spans="1:7" x14ac:dyDescent="0.3">
      <c r="A148" s="42">
        <v>46194</v>
      </c>
      <c r="B148" s="43">
        <v>0.50131944444444443</v>
      </c>
      <c r="C148" t="s">
        <v>152</v>
      </c>
      <c r="D148" t="s">
        <v>42</v>
      </c>
      <c r="E148" t="s">
        <v>264</v>
      </c>
      <c r="F148">
        <v>-13000</v>
      </c>
      <c r="G148" t="s">
        <v>186</v>
      </c>
    </row>
    <row r="149" spans="1:7" x14ac:dyDescent="0.3">
      <c r="A149" s="42">
        <v>46194</v>
      </c>
      <c r="B149" s="43">
        <v>0.45821759259259259</v>
      </c>
      <c r="C149" t="s">
        <v>152</v>
      </c>
      <c r="D149" t="s">
        <v>44</v>
      </c>
      <c r="E149" t="s">
        <v>265</v>
      </c>
      <c r="F149">
        <v>-7890</v>
      </c>
      <c r="G149" t="s">
        <v>266</v>
      </c>
    </row>
    <row r="150" spans="1:7" x14ac:dyDescent="0.3">
      <c r="A150" s="42">
        <v>46194</v>
      </c>
      <c r="B150" s="43">
        <v>0.42881944444444442</v>
      </c>
      <c r="C150" t="s">
        <v>152</v>
      </c>
      <c r="D150" t="s">
        <v>36</v>
      </c>
      <c r="E150" t="s">
        <v>244</v>
      </c>
      <c r="F150">
        <v>-3400</v>
      </c>
      <c r="G150" t="s">
        <v>161</v>
      </c>
    </row>
    <row r="151" spans="1:7" x14ac:dyDescent="0.3">
      <c r="A151" s="42">
        <v>46194</v>
      </c>
      <c r="B151" s="43">
        <v>0</v>
      </c>
      <c r="C151" t="s">
        <v>152</v>
      </c>
      <c r="D151" t="s">
        <v>40</v>
      </c>
      <c r="E151" t="s">
        <v>171</v>
      </c>
      <c r="F151">
        <v>1840500</v>
      </c>
      <c r="G151" t="s">
        <v>154</v>
      </c>
    </row>
    <row r="152" spans="1:7" x14ac:dyDescent="0.3">
      <c r="A152" s="42">
        <v>46193</v>
      </c>
      <c r="B152" s="43">
        <v>0.74633101851851846</v>
      </c>
      <c r="C152" t="s">
        <v>155</v>
      </c>
      <c r="D152" t="s">
        <v>163</v>
      </c>
      <c r="E152" t="s">
        <v>164</v>
      </c>
      <c r="F152">
        <v>10000</v>
      </c>
      <c r="G152" t="s">
        <v>158</v>
      </c>
    </row>
    <row r="153" spans="1:7" x14ac:dyDescent="0.3">
      <c r="A153" s="42">
        <v>46193</v>
      </c>
      <c r="B153" s="43">
        <v>0.74633101851851846</v>
      </c>
      <c r="C153" t="s">
        <v>155</v>
      </c>
      <c r="D153" t="s">
        <v>155</v>
      </c>
      <c r="E153" t="s">
        <v>212</v>
      </c>
      <c r="F153">
        <v>-8000</v>
      </c>
      <c r="G153" t="s">
        <v>158</v>
      </c>
    </row>
    <row r="154" spans="1:7" x14ac:dyDescent="0.3">
      <c r="A154" s="42">
        <v>46193</v>
      </c>
      <c r="B154" s="43">
        <v>0.74633101851851846</v>
      </c>
      <c r="C154" t="s">
        <v>155</v>
      </c>
      <c r="D154" t="s">
        <v>163</v>
      </c>
      <c r="E154" t="s">
        <v>166</v>
      </c>
      <c r="F154">
        <v>-10000</v>
      </c>
      <c r="G154" t="s">
        <v>61</v>
      </c>
    </row>
    <row r="155" spans="1:7" x14ac:dyDescent="0.3">
      <c r="A155" s="42">
        <v>46193</v>
      </c>
      <c r="B155" s="43">
        <v>0.74281249999999999</v>
      </c>
      <c r="C155" t="s">
        <v>152</v>
      </c>
      <c r="D155" t="s">
        <v>40</v>
      </c>
      <c r="E155" t="s">
        <v>267</v>
      </c>
      <c r="F155">
        <v>-22380</v>
      </c>
      <c r="G155" t="s">
        <v>186</v>
      </c>
    </row>
    <row r="156" spans="1:7" x14ac:dyDescent="0.3">
      <c r="A156" s="42">
        <v>46193</v>
      </c>
      <c r="B156" s="43">
        <v>0.6787037037037037</v>
      </c>
      <c r="C156" t="s">
        <v>155</v>
      </c>
      <c r="D156" t="s">
        <v>217</v>
      </c>
      <c r="E156" t="s">
        <v>268</v>
      </c>
      <c r="F156">
        <v>1500000</v>
      </c>
      <c r="G156" t="s">
        <v>67</v>
      </c>
    </row>
    <row r="157" spans="1:7" x14ac:dyDescent="0.3">
      <c r="A157" s="42">
        <v>46193</v>
      </c>
      <c r="B157" s="43">
        <v>0.58901620370370367</v>
      </c>
      <c r="C157" t="s">
        <v>152</v>
      </c>
      <c r="D157" t="s">
        <v>47</v>
      </c>
      <c r="E157" t="s">
        <v>269</v>
      </c>
      <c r="F157">
        <v>-60000</v>
      </c>
      <c r="G157" t="s">
        <v>186</v>
      </c>
    </row>
    <row r="158" spans="1:7" x14ac:dyDescent="0.3">
      <c r="A158" s="42">
        <v>46193</v>
      </c>
      <c r="B158" s="43">
        <v>0.56381944444444443</v>
      </c>
      <c r="C158" t="s">
        <v>152</v>
      </c>
      <c r="D158" t="s">
        <v>40</v>
      </c>
      <c r="E158" t="s">
        <v>171</v>
      </c>
      <c r="F158">
        <v>-52680</v>
      </c>
      <c r="G158" t="s">
        <v>180</v>
      </c>
    </row>
    <row r="159" spans="1:7" x14ac:dyDescent="0.3">
      <c r="A159" s="42">
        <v>46193</v>
      </c>
      <c r="B159" s="43">
        <v>0.54498842592592589</v>
      </c>
      <c r="C159" t="s">
        <v>152</v>
      </c>
      <c r="D159" t="s">
        <v>40</v>
      </c>
      <c r="E159" t="s">
        <v>171</v>
      </c>
      <c r="F159">
        <v>-1840500</v>
      </c>
      <c r="G159" t="s">
        <v>154</v>
      </c>
    </row>
    <row r="160" spans="1:7" x14ac:dyDescent="0.3">
      <c r="A160" s="42">
        <v>46193</v>
      </c>
      <c r="B160" s="43">
        <v>0.522974537037037</v>
      </c>
      <c r="C160" t="s">
        <v>152</v>
      </c>
      <c r="D160" t="s">
        <v>40</v>
      </c>
      <c r="E160" t="s">
        <v>270</v>
      </c>
      <c r="F160">
        <v>-5130</v>
      </c>
      <c r="G160" t="s">
        <v>186</v>
      </c>
    </row>
    <row r="161" spans="1:7" x14ac:dyDescent="0.3">
      <c r="A161" s="42">
        <v>46193</v>
      </c>
      <c r="B161" s="43">
        <v>0.48684027777777777</v>
      </c>
      <c r="C161" t="s">
        <v>152</v>
      </c>
      <c r="D161" t="s">
        <v>47</v>
      </c>
      <c r="E161" t="s">
        <v>271</v>
      </c>
      <c r="F161">
        <v>-500</v>
      </c>
      <c r="G161" t="s">
        <v>186</v>
      </c>
    </row>
    <row r="162" spans="1:7" x14ac:dyDescent="0.3">
      <c r="A162" s="42">
        <v>46193</v>
      </c>
      <c r="B162" s="43">
        <v>0.45725694444444442</v>
      </c>
      <c r="C162" t="s">
        <v>152</v>
      </c>
      <c r="D162" t="s">
        <v>39</v>
      </c>
      <c r="E162" t="s">
        <v>272</v>
      </c>
      <c r="F162">
        <v>-22000</v>
      </c>
      <c r="G162" t="s">
        <v>186</v>
      </c>
    </row>
    <row r="163" spans="1:7" x14ac:dyDescent="0.3">
      <c r="A163" s="42">
        <v>46193</v>
      </c>
      <c r="B163" s="43">
        <v>0.42261574074074082</v>
      </c>
      <c r="C163" t="s">
        <v>155</v>
      </c>
      <c r="D163" t="s">
        <v>217</v>
      </c>
      <c r="E163" t="s">
        <v>273</v>
      </c>
      <c r="F163">
        <v>0</v>
      </c>
      <c r="G163" t="s">
        <v>66</v>
      </c>
    </row>
    <row r="164" spans="1:7" x14ac:dyDescent="0.3">
      <c r="A164" s="42">
        <v>46193</v>
      </c>
      <c r="B164" s="43">
        <v>0.41795138888888889</v>
      </c>
      <c r="C164" t="s">
        <v>152</v>
      </c>
      <c r="D164" t="s">
        <v>36</v>
      </c>
      <c r="E164" t="s">
        <v>274</v>
      </c>
      <c r="F164">
        <v>-1750</v>
      </c>
      <c r="G164" t="s">
        <v>161</v>
      </c>
    </row>
    <row r="165" spans="1:7" x14ac:dyDescent="0.3">
      <c r="A165" s="42">
        <v>46193</v>
      </c>
      <c r="B165" s="43">
        <v>0.32939814814814822</v>
      </c>
      <c r="C165" t="s">
        <v>155</v>
      </c>
      <c r="D165" t="s">
        <v>163</v>
      </c>
      <c r="E165" t="s">
        <v>275</v>
      </c>
      <c r="F165">
        <v>100000</v>
      </c>
      <c r="G165" t="s">
        <v>73</v>
      </c>
    </row>
    <row r="166" spans="1:7" x14ac:dyDescent="0.3">
      <c r="A166" s="42">
        <v>46193</v>
      </c>
      <c r="B166" s="43">
        <v>0.32939814814814822</v>
      </c>
      <c r="C166" t="s">
        <v>155</v>
      </c>
      <c r="D166" t="s">
        <v>163</v>
      </c>
      <c r="E166" t="s">
        <v>276</v>
      </c>
      <c r="F166">
        <v>-100000</v>
      </c>
      <c r="G166" t="s">
        <v>64</v>
      </c>
    </row>
    <row r="167" spans="1:7" x14ac:dyDescent="0.3">
      <c r="A167" s="42">
        <v>46193</v>
      </c>
      <c r="B167" s="43">
        <v>0.32612268518518522</v>
      </c>
      <c r="C167" t="s">
        <v>155</v>
      </c>
      <c r="D167" t="s">
        <v>163</v>
      </c>
      <c r="E167" t="s">
        <v>7</v>
      </c>
      <c r="F167">
        <v>3000000</v>
      </c>
      <c r="G167" t="s">
        <v>64</v>
      </c>
    </row>
    <row r="168" spans="1:7" x14ac:dyDescent="0.3">
      <c r="A168" s="42">
        <v>46193</v>
      </c>
      <c r="B168" s="43">
        <v>0.32611111111111107</v>
      </c>
      <c r="C168" t="s">
        <v>155</v>
      </c>
      <c r="D168" t="s">
        <v>163</v>
      </c>
      <c r="E168" t="s">
        <v>7</v>
      </c>
      <c r="F168">
        <v>-3000000</v>
      </c>
      <c r="G168" t="s">
        <v>60</v>
      </c>
    </row>
    <row r="169" spans="1:7" x14ac:dyDescent="0.3">
      <c r="A169" s="42">
        <v>46192</v>
      </c>
      <c r="B169" s="43">
        <v>0.71255787037037033</v>
      </c>
      <c r="C169" t="s">
        <v>155</v>
      </c>
      <c r="D169" t="s">
        <v>155</v>
      </c>
      <c r="E169" t="s">
        <v>277</v>
      </c>
      <c r="F169">
        <v>3000000</v>
      </c>
      <c r="G169" t="s">
        <v>67</v>
      </c>
    </row>
    <row r="170" spans="1:7" x14ac:dyDescent="0.3">
      <c r="A170" s="42">
        <v>46192</v>
      </c>
      <c r="B170" s="43">
        <v>0.57098379629629625</v>
      </c>
      <c r="C170" t="s">
        <v>155</v>
      </c>
      <c r="D170" t="s">
        <v>155</v>
      </c>
      <c r="E170" t="s">
        <v>278</v>
      </c>
      <c r="F170">
        <v>-3357534</v>
      </c>
      <c r="G170" t="s">
        <v>67</v>
      </c>
    </row>
    <row r="171" spans="1:7" x14ac:dyDescent="0.3">
      <c r="A171" s="42">
        <v>46192</v>
      </c>
      <c r="B171" s="43">
        <v>0.56827546296296294</v>
      </c>
      <c r="C171" t="s">
        <v>152</v>
      </c>
      <c r="D171" t="s">
        <v>37</v>
      </c>
      <c r="E171" t="s">
        <v>279</v>
      </c>
      <c r="F171">
        <v>-2900000</v>
      </c>
      <c r="G171" t="s">
        <v>61</v>
      </c>
    </row>
    <row r="172" spans="1:7" x14ac:dyDescent="0.3">
      <c r="A172" s="42">
        <v>46192</v>
      </c>
      <c r="B172" s="43">
        <v>0.56768518518518518</v>
      </c>
      <c r="C172" t="s">
        <v>152</v>
      </c>
      <c r="D172" t="s">
        <v>37</v>
      </c>
      <c r="E172" t="s">
        <v>280</v>
      </c>
      <c r="F172">
        <v>-1666666</v>
      </c>
      <c r="G172" t="s">
        <v>174</v>
      </c>
    </row>
    <row r="173" spans="1:7" x14ac:dyDescent="0.3">
      <c r="A173" s="42">
        <v>46192</v>
      </c>
      <c r="B173" s="43">
        <v>0.56700231481481478</v>
      </c>
      <c r="C173" t="s">
        <v>152</v>
      </c>
      <c r="D173" t="s">
        <v>37</v>
      </c>
      <c r="E173" t="s">
        <v>280</v>
      </c>
      <c r="F173">
        <v>-5000000</v>
      </c>
      <c r="G173" t="s">
        <v>174</v>
      </c>
    </row>
    <row r="174" spans="1:7" x14ac:dyDescent="0.3">
      <c r="A174" s="42">
        <v>46192</v>
      </c>
      <c r="B174" s="43">
        <v>0.52274305555555556</v>
      </c>
      <c r="C174" t="s">
        <v>155</v>
      </c>
      <c r="D174" t="s">
        <v>155</v>
      </c>
      <c r="E174" t="s">
        <v>281</v>
      </c>
      <c r="F174">
        <v>-390000</v>
      </c>
      <c r="G174" t="s">
        <v>61</v>
      </c>
    </row>
    <row r="175" spans="1:7" x14ac:dyDescent="0.3">
      <c r="A175" s="42">
        <v>46192</v>
      </c>
      <c r="B175" s="43">
        <v>0.52214120370370365</v>
      </c>
      <c r="C175" t="s">
        <v>155</v>
      </c>
      <c r="D175" t="s">
        <v>155</v>
      </c>
      <c r="E175" t="s">
        <v>281</v>
      </c>
      <c r="F175">
        <v>-520000000</v>
      </c>
      <c r="G175" t="s">
        <v>61</v>
      </c>
    </row>
    <row r="176" spans="1:7" x14ac:dyDescent="0.3">
      <c r="A176" s="42">
        <v>46192</v>
      </c>
      <c r="B176" s="43">
        <v>0.52113425925925927</v>
      </c>
      <c r="C176" t="s">
        <v>155</v>
      </c>
      <c r="D176" t="s">
        <v>155</v>
      </c>
      <c r="E176" t="s">
        <v>282</v>
      </c>
      <c r="F176">
        <v>446120</v>
      </c>
      <c r="G176" t="s">
        <v>61</v>
      </c>
    </row>
    <row r="177" spans="1:7" x14ac:dyDescent="0.3">
      <c r="A177" s="42">
        <v>46192</v>
      </c>
      <c r="B177" s="43">
        <v>0.49615740740740738</v>
      </c>
      <c r="C177" t="s">
        <v>176</v>
      </c>
      <c r="D177" t="s">
        <v>29</v>
      </c>
      <c r="E177" t="s">
        <v>283</v>
      </c>
      <c r="F177">
        <v>86000000</v>
      </c>
      <c r="G177" t="s">
        <v>61</v>
      </c>
    </row>
    <row r="178" spans="1:7" x14ac:dyDescent="0.3">
      <c r="A178" s="42">
        <v>46192</v>
      </c>
      <c r="B178" s="43">
        <v>0.4956712962962963</v>
      </c>
      <c r="C178" t="s">
        <v>176</v>
      </c>
      <c r="D178" t="s">
        <v>29</v>
      </c>
      <c r="E178" t="s">
        <v>283</v>
      </c>
      <c r="F178">
        <v>100000000</v>
      </c>
      <c r="G178" t="s">
        <v>61</v>
      </c>
    </row>
    <row r="179" spans="1:7" x14ac:dyDescent="0.3">
      <c r="A179" s="42">
        <v>46192</v>
      </c>
      <c r="B179" s="43">
        <v>0.4952199074074074</v>
      </c>
      <c r="C179" t="s">
        <v>176</v>
      </c>
      <c r="D179" t="s">
        <v>29</v>
      </c>
      <c r="E179" t="s">
        <v>283</v>
      </c>
      <c r="F179">
        <v>100000000</v>
      </c>
      <c r="G179" t="s">
        <v>61</v>
      </c>
    </row>
    <row r="180" spans="1:7" x14ac:dyDescent="0.3">
      <c r="A180" s="42">
        <v>46192</v>
      </c>
      <c r="B180" s="43">
        <v>0.49473379629629632</v>
      </c>
      <c r="C180" t="s">
        <v>176</v>
      </c>
      <c r="D180" t="s">
        <v>29</v>
      </c>
      <c r="E180" t="s">
        <v>284</v>
      </c>
      <c r="F180">
        <v>100000000</v>
      </c>
      <c r="G180" t="s">
        <v>61</v>
      </c>
    </row>
    <row r="181" spans="1:7" x14ac:dyDescent="0.3">
      <c r="A181" s="42">
        <v>46192</v>
      </c>
      <c r="B181" s="43">
        <v>0.49427083333333333</v>
      </c>
      <c r="C181" t="s">
        <v>176</v>
      </c>
      <c r="D181" t="s">
        <v>29</v>
      </c>
      <c r="E181" t="s">
        <v>283</v>
      </c>
      <c r="F181">
        <v>100000000</v>
      </c>
      <c r="G181" t="s">
        <v>61</v>
      </c>
    </row>
    <row r="182" spans="1:7" x14ac:dyDescent="0.3">
      <c r="A182" s="42">
        <v>46192</v>
      </c>
      <c r="B182" s="43">
        <v>0.48526620370370371</v>
      </c>
      <c r="C182" t="s">
        <v>176</v>
      </c>
      <c r="D182" t="s">
        <v>29</v>
      </c>
      <c r="E182" t="s">
        <v>285</v>
      </c>
      <c r="F182">
        <v>469710</v>
      </c>
      <c r="G182" t="s">
        <v>61</v>
      </c>
    </row>
    <row r="183" spans="1:7" x14ac:dyDescent="0.3">
      <c r="A183" s="42">
        <v>46192</v>
      </c>
      <c r="B183" s="43">
        <v>0.39400462962962962</v>
      </c>
      <c r="C183" t="s">
        <v>152</v>
      </c>
      <c r="D183" t="s">
        <v>37</v>
      </c>
      <c r="E183" t="s">
        <v>286</v>
      </c>
      <c r="F183">
        <v>-75000</v>
      </c>
      <c r="G183" t="s">
        <v>64</v>
      </c>
    </row>
    <row r="184" spans="1:7" x14ac:dyDescent="0.3">
      <c r="A184" s="42">
        <v>46192</v>
      </c>
      <c r="B184" s="43">
        <v>0.38318287037037041</v>
      </c>
      <c r="C184" t="s">
        <v>152</v>
      </c>
      <c r="D184" t="s">
        <v>37</v>
      </c>
      <c r="E184" t="s">
        <v>287</v>
      </c>
      <c r="F184">
        <v>-992630</v>
      </c>
      <c r="G184" t="s">
        <v>64</v>
      </c>
    </row>
    <row r="185" spans="1:7" x14ac:dyDescent="0.3">
      <c r="A185" s="42">
        <v>46192</v>
      </c>
      <c r="B185" s="43">
        <v>0.3555902777777778</v>
      </c>
      <c r="C185" t="s">
        <v>152</v>
      </c>
      <c r="D185" t="s">
        <v>49</v>
      </c>
      <c r="E185" t="s">
        <v>288</v>
      </c>
      <c r="F185">
        <v>-7420</v>
      </c>
      <c r="G185" t="s">
        <v>154</v>
      </c>
    </row>
    <row r="186" spans="1:7" x14ac:dyDescent="0.3">
      <c r="A186" s="42">
        <v>46192</v>
      </c>
      <c r="B186" s="43">
        <v>0.33406249999999998</v>
      </c>
      <c r="C186" t="s">
        <v>176</v>
      </c>
      <c r="D186" t="s">
        <v>29</v>
      </c>
      <c r="E186" t="s">
        <v>29</v>
      </c>
      <c r="F186">
        <v>5216630</v>
      </c>
      <c r="G186" t="s">
        <v>60</v>
      </c>
    </row>
    <row r="187" spans="1:7" x14ac:dyDescent="0.3">
      <c r="A187" s="42">
        <v>46191</v>
      </c>
      <c r="B187" s="43">
        <v>0.88143518518518515</v>
      </c>
      <c r="C187" t="s">
        <v>152</v>
      </c>
      <c r="D187" t="s">
        <v>40</v>
      </c>
      <c r="E187" t="s">
        <v>289</v>
      </c>
      <c r="F187">
        <v>-14400</v>
      </c>
      <c r="G187" t="s">
        <v>186</v>
      </c>
    </row>
    <row r="188" spans="1:7" x14ac:dyDescent="0.3">
      <c r="A188" s="42">
        <v>46191</v>
      </c>
      <c r="B188" s="43">
        <v>0.80018518518518522</v>
      </c>
      <c r="C188" t="s">
        <v>152</v>
      </c>
      <c r="D188" t="s">
        <v>42</v>
      </c>
      <c r="E188" t="s">
        <v>290</v>
      </c>
      <c r="F188">
        <v>-13900</v>
      </c>
      <c r="G188" t="s">
        <v>186</v>
      </c>
    </row>
    <row r="189" spans="1:7" x14ac:dyDescent="0.3">
      <c r="A189" s="42">
        <v>46191</v>
      </c>
      <c r="B189" s="43">
        <v>0.54128472222222224</v>
      </c>
      <c r="C189" t="s">
        <v>155</v>
      </c>
      <c r="D189" t="s">
        <v>155</v>
      </c>
      <c r="E189" t="s">
        <v>291</v>
      </c>
      <c r="F189">
        <v>-200000</v>
      </c>
      <c r="G189" t="s">
        <v>61</v>
      </c>
    </row>
    <row r="190" spans="1:7" x14ac:dyDescent="0.3">
      <c r="A190" s="42">
        <v>46191</v>
      </c>
      <c r="B190" s="43">
        <v>0.54098379629629634</v>
      </c>
      <c r="C190" t="s">
        <v>155</v>
      </c>
      <c r="D190" t="s">
        <v>155</v>
      </c>
      <c r="E190" t="s">
        <v>291</v>
      </c>
      <c r="F190">
        <v>-500000</v>
      </c>
      <c r="G190" t="s">
        <v>61</v>
      </c>
    </row>
    <row r="191" spans="1:7" x14ac:dyDescent="0.3">
      <c r="A191" s="42">
        <v>46191</v>
      </c>
      <c r="B191" s="43">
        <v>0.53063657407407405</v>
      </c>
      <c r="C191" t="s">
        <v>176</v>
      </c>
      <c r="D191" t="s">
        <v>28</v>
      </c>
      <c r="E191" t="s">
        <v>178</v>
      </c>
      <c r="F191">
        <v>35140</v>
      </c>
      <c r="G191" t="s">
        <v>61</v>
      </c>
    </row>
    <row r="192" spans="1:7" x14ac:dyDescent="0.3">
      <c r="A192" s="42">
        <v>46191</v>
      </c>
      <c r="B192" s="43">
        <v>0.47355324074074068</v>
      </c>
      <c r="C192" t="s">
        <v>155</v>
      </c>
      <c r="D192" t="s">
        <v>163</v>
      </c>
      <c r="E192" t="s">
        <v>223</v>
      </c>
      <c r="F192">
        <v>923</v>
      </c>
      <c r="G192" t="s">
        <v>68</v>
      </c>
    </row>
    <row r="193" spans="1:7" x14ac:dyDescent="0.3">
      <c r="A193" s="42">
        <v>46191</v>
      </c>
      <c r="B193" s="43">
        <v>0.47355324074074068</v>
      </c>
      <c r="C193" t="s">
        <v>155</v>
      </c>
      <c r="D193" t="s">
        <v>163</v>
      </c>
      <c r="E193" t="s">
        <v>68</v>
      </c>
      <c r="F193">
        <v>-923</v>
      </c>
      <c r="G193" t="s">
        <v>67</v>
      </c>
    </row>
    <row r="194" spans="1:7" x14ac:dyDescent="0.3">
      <c r="A194" s="42">
        <v>46190</v>
      </c>
      <c r="B194" s="43">
        <v>0.93068287037037034</v>
      </c>
      <c r="C194" t="s">
        <v>155</v>
      </c>
      <c r="D194" t="s">
        <v>163</v>
      </c>
      <c r="E194" t="s">
        <v>164</v>
      </c>
      <c r="F194">
        <v>56075</v>
      </c>
      <c r="G194" t="s">
        <v>158</v>
      </c>
    </row>
    <row r="195" spans="1:7" x14ac:dyDescent="0.3">
      <c r="A195" s="42">
        <v>46190</v>
      </c>
      <c r="B195" s="43">
        <v>0.93068287037037034</v>
      </c>
      <c r="C195" t="s">
        <v>152</v>
      </c>
      <c r="D195" t="s">
        <v>37</v>
      </c>
      <c r="E195" t="s">
        <v>165</v>
      </c>
      <c r="F195">
        <v>-61000</v>
      </c>
      <c r="G195" t="s">
        <v>158</v>
      </c>
    </row>
    <row r="196" spans="1:7" x14ac:dyDescent="0.3">
      <c r="A196" s="42">
        <v>46190</v>
      </c>
      <c r="B196" s="43">
        <v>0.93068287037037034</v>
      </c>
      <c r="C196" t="s">
        <v>155</v>
      </c>
      <c r="D196" t="s">
        <v>163</v>
      </c>
      <c r="E196" t="s">
        <v>166</v>
      </c>
      <c r="F196">
        <v>-56075</v>
      </c>
      <c r="G196" t="s">
        <v>61</v>
      </c>
    </row>
    <row r="197" spans="1:7" x14ac:dyDescent="0.3">
      <c r="A197" s="42">
        <v>46190</v>
      </c>
      <c r="B197" s="43">
        <v>0.38127314814814822</v>
      </c>
      <c r="C197" t="s">
        <v>155</v>
      </c>
      <c r="D197" t="s">
        <v>292</v>
      </c>
      <c r="E197" t="s">
        <v>293</v>
      </c>
      <c r="F197">
        <v>580</v>
      </c>
      <c r="G197" t="s">
        <v>67</v>
      </c>
    </row>
    <row r="198" spans="1:7" x14ac:dyDescent="0.3">
      <c r="A198" s="42">
        <v>46190</v>
      </c>
      <c r="B198" s="43">
        <v>0.38121527777777781</v>
      </c>
      <c r="C198" t="s">
        <v>152</v>
      </c>
      <c r="D198" t="s">
        <v>37</v>
      </c>
      <c r="E198" t="s">
        <v>294</v>
      </c>
      <c r="F198">
        <v>-100202657</v>
      </c>
      <c r="G198" t="s">
        <v>67</v>
      </c>
    </row>
    <row r="199" spans="1:7" x14ac:dyDescent="0.3">
      <c r="A199" s="42">
        <v>46190</v>
      </c>
      <c r="B199" s="43">
        <v>0.38075231481481481</v>
      </c>
      <c r="C199" t="s">
        <v>155</v>
      </c>
      <c r="D199" t="s">
        <v>163</v>
      </c>
      <c r="E199" t="s">
        <v>7</v>
      </c>
      <c r="F199">
        <v>-103000</v>
      </c>
      <c r="G199" t="s">
        <v>67</v>
      </c>
    </row>
    <row r="200" spans="1:7" x14ac:dyDescent="0.3">
      <c r="A200" s="42">
        <v>46190</v>
      </c>
      <c r="B200" s="43">
        <v>0.38075231481481481</v>
      </c>
      <c r="C200" t="s">
        <v>155</v>
      </c>
      <c r="D200" t="s">
        <v>163</v>
      </c>
      <c r="E200" t="s">
        <v>7</v>
      </c>
      <c r="F200">
        <v>103000</v>
      </c>
      <c r="G200" t="s">
        <v>67</v>
      </c>
    </row>
    <row r="201" spans="1:7" x14ac:dyDescent="0.3">
      <c r="A201" s="42">
        <v>46190</v>
      </c>
      <c r="B201" s="43">
        <v>0.37958333333333327</v>
      </c>
      <c r="C201" t="s">
        <v>155</v>
      </c>
      <c r="D201" t="s">
        <v>163</v>
      </c>
      <c r="E201" t="s">
        <v>7</v>
      </c>
      <c r="F201">
        <v>-80000000</v>
      </c>
      <c r="G201" t="s">
        <v>67</v>
      </c>
    </row>
    <row r="202" spans="1:7" x14ac:dyDescent="0.3">
      <c r="A202" s="42">
        <v>46190</v>
      </c>
      <c r="B202" s="43">
        <v>0.37958333333333327</v>
      </c>
      <c r="C202" t="s">
        <v>155</v>
      </c>
      <c r="D202" t="s">
        <v>163</v>
      </c>
      <c r="E202" t="s">
        <v>7</v>
      </c>
      <c r="F202">
        <v>80000000</v>
      </c>
      <c r="G202" t="s">
        <v>67</v>
      </c>
    </row>
    <row r="203" spans="1:7" x14ac:dyDescent="0.3">
      <c r="A203" s="42">
        <v>46190</v>
      </c>
      <c r="B203" s="43">
        <v>0.25245370370370368</v>
      </c>
      <c r="C203" t="s">
        <v>155</v>
      </c>
      <c r="D203" t="s">
        <v>217</v>
      </c>
      <c r="E203" t="s">
        <v>295</v>
      </c>
      <c r="F203">
        <v>80160956</v>
      </c>
      <c r="G203" t="s">
        <v>67</v>
      </c>
    </row>
    <row r="204" spans="1:7" x14ac:dyDescent="0.3">
      <c r="A204" s="42">
        <v>46189</v>
      </c>
      <c r="B204" s="43">
        <v>0.49438657407407399</v>
      </c>
      <c r="C204" t="s">
        <v>152</v>
      </c>
      <c r="D204" t="s">
        <v>42</v>
      </c>
      <c r="E204" t="s">
        <v>296</v>
      </c>
      <c r="F204">
        <v>-6300</v>
      </c>
      <c r="G204" t="s">
        <v>186</v>
      </c>
    </row>
    <row r="205" spans="1:7" x14ac:dyDescent="0.3">
      <c r="A205" s="42">
        <v>46189</v>
      </c>
      <c r="B205" s="43">
        <v>0.48810185185185179</v>
      </c>
      <c r="C205" t="s">
        <v>155</v>
      </c>
      <c r="D205" t="s">
        <v>155</v>
      </c>
      <c r="E205" t="s">
        <v>297</v>
      </c>
      <c r="F205">
        <v>4925</v>
      </c>
      <c r="G205" t="s">
        <v>158</v>
      </c>
    </row>
    <row r="206" spans="1:7" x14ac:dyDescent="0.3">
      <c r="A206" s="42">
        <v>46189</v>
      </c>
      <c r="B206" s="43">
        <v>0.48582175925925919</v>
      </c>
      <c r="C206" t="s">
        <v>155</v>
      </c>
      <c r="D206" t="s">
        <v>155</v>
      </c>
      <c r="E206" t="s">
        <v>166</v>
      </c>
      <c r="F206">
        <v>-12600</v>
      </c>
      <c r="G206" t="s">
        <v>61</v>
      </c>
    </row>
    <row r="207" spans="1:7" x14ac:dyDescent="0.3">
      <c r="A207" s="42">
        <v>46189</v>
      </c>
      <c r="B207" s="43">
        <v>0.48581018518518521</v>
      </c>
      <c r="C207" t="s">
        <v>155</v>
      </c>
      <c r="D207" t="s">
        <v>163</v>
      </c>
      <c r="E207" t="s">
        <v>164</v>
      </c>
      <c r="F207">
        <v>12600</v>
      </c>
      <c r="G207" t="s">
        <v>158</v>
      </c>
    </row>
    <row r="208" spans="1:7" x14ac:dyDescent="0.3">
      <c r="A208" s="42">
        <v>46189</v>
      </c>
      <c r="B208" s="43">
        <v>0.48581018518518521</v>
      </c>
      <c r="C208" t="s">
        <v>152</v>
      </c>
      <c r="D208" t="s">
        <v>37</v>
      </c>
      <c r="E208" t="s">
        <v>165</v>
      </c>
      <c r="F208">
        <v>-17100</v>
      </c>
      <c r="G208" t="s">
        <v>158</v>
      </c>
    </row>
    <row r="209" spans="1:7" x14ac:dyDescent="0.3">
      <c r="A209" s="42">
        <v>46188</v>
      </c>
      <c r="B209" s="43">
        <v>0.86201388888888886</v>
      </c>
      <c r="C209" t="s">
        <v>152</v>
      </c>
      <c r="D209" t="s">
        <v>40</v>
      </c>
      <c r="E209" t="s">
        <v>298</v>
      </c>
      <c r="F209">
        <v>-11300</v>
      </c>
      <c r="G209" t="s">
        <v>186</v>
      </c>
    </row>
    <row r="210" spans="1:7" x14ac:dyDescent="0.3">
      <c r="A210" s="42">
        <v>46188</v>
      </c>
      <c r="B210" s="43">
        <v>0.8305555555555556</v>
      </c>
      <c r="C210" t="s">
        <v>152</v>
      </c>
      <c r="D210" t="s">
        <v>42</v>
      </c>
      <c r="E210" t="s">
        <v>299</v>
      </c>
      <c r="F210">
        <v>-1400</v>
      </c>
      <c r="G210" t="s">
        <v>186</v>
      </c>
    </row>
    <row r="211" spans="1:7" x14ac:dyDescent="0.3">
      <c r="A211" s="42">
        <v>46188</v>
      </c>
      <c r="B211" s="43">
        <v>0.75099537037037034</v>
      </c>
      <c r="C211" t="s">
        <v>155</v>
      </c>
      <c r="D211" t="s">
        <v>155</v>
      </c>
      <c r="E211" t="s">
        <v>300</v>
      </c>
      <c r="F211">
        <v>200000</v>
      </c>
      <c r="G211" t="s">
        <v>61</v>
      </c>
    </row>
    <row r="212" spans="1:7" x14ac:dyDescent="0.3">
      <c r="A212" s="42">
        <v>46188</v>
      </c>
      <c r="B212" s="43">
        <v>0.64231481481481478</v>
      </c>
      <c r="C212" t="s">
        <v>155</v>
      </c>
      <c r="D212" t="s">
        <v>155</v>
      </c>
      <c r="E212" t="s">
        <v>301</v>
      </c>
      <c r="F212">
        <v>-4000000</v>
      </c>
      <c r="G212" t="s">
        <v>60</v>
      </c>
    </row>
    <row r="213" spans="1:7" x14ac:dyDescent="0.3">
      <c r="A213" s="42">
        <v>46188</v>
      </c>
      <c r="B213" s="43">
        <v>0.48378472222222219</v>
      </c>
      <c r="C213" t="s">
        <v>155</v>
      </c>
      <c r="D213" t="s">
        <v>163</v>
      </c>
      <c r="E213" t="s">
        <v>7</v>
      </c>
      <c r="F213">
        <v>5512652</v>
      </c>
      <c r="G213" t="s">
        <v>61</v>
      </c>
    </row>
    <row r="214" spans="1:7" x14ac:dyDescent="0.3">
      <c r="A214" s="42">
        <v>46188</v>
      </c>
      <c r="B214" s="43">
        <v>0.4836111111111111</v>
      </c>
      <c r="C214" t="s">
        <v>155</v>
      </c>
      <c r="D214" t="s">
        <v>163</v>
      </c>
      <c r="E214" t="s">
        <v>7</v>
      </c>
      <c r="F214">
        <v>10000000</v>
      </c>
      <c r="G214" t="s">
        <v>61</v>
      </c>
    </row>
    <row r="215" spans="1:7" x14ac:dyDescent="0.3">
      <c r="A215" s="42">
        <v>46188</v>
      </c>
      <c r="B215" s="43">
        <v>0.48340277777777779</v>
      </c>
      <c r="C215" t="s">
        <v>155</v>
      </c>
      <c r="D215" t="s">
        <v>163</v>
      </c>
      <c r="E215" t="s">
        <v>7</v>
      </c>
      <c r="F215">
        <v>10000000</v>
      </c>
      <c r="G215" t="s">
        <v>61</v>
      </c>
    </row>
    <row r="216" spans="1:7" x14ac:dyDescent="0.3">
      <c r="A216" s="42">
        <v>46188</v>
      </c>
      <c r="B216" s="43">
        <v>0.4115509259259259</v>
      </c>
      <c r="C216" t="s">
        <v>152</v>
      </c>
      <c r="D216" t="s">
        <v>36</v>
      </c>
      <c r="E216" t="s">
        <v>274</v>
      </c>
      <c r="F216">
        <v>-1750</v>
      </c>
      <c r="G216" t="s">
        <v>161</v>
      </c>
    </row>
    <row r="217" spans="1:7" x14ac:dyDescent="0.3">
      <c r="A217" s="42">
        <v>46187</v>
      </c>
      <c r="B217" s="43">
        <v>0.77064814814814819</v>
      </c>
      <c r="C217" t="s">
        <v>152</v>
      </c>
      <c r="D217" t="s">
        <v>50</v>
      </c>
      <c r="E217" t="s">
        <v>302</v>
      </c>
      <c r="F217">
        <v>-82800</v>
      </c>
      <c r="G217" t="s">
        <v>186</v>
      </c>
    </row>
    <row r="218" spans="1:7" x14ac:dyDescent="0.3">
      <c r="A218" s="42">
        <v>46187</v>
      </c>
      <c r="B218" s="43">
        <v>0.75483796296296302</v>
      </c>
      <c r="C218" t="s">
        <v>152</v>
      </c>
      <c r="D218" t="s">
        <v>50</v>
      </c>
      <c r="E218" t="s">
        <v>302</v>
      </c>
      <c r="F218">
        <v>-40000</v>
      </c>
      <c r="G218" t="s">
        <v>186</v>
      </c>
    </row>
    <row r="219" spans="1:7" x14ac:dyDescent="0.3">
      <c r="A219" s="42">
        <v>46187</v>
      </c>
      <c r="B219" s="43">
        <v>0.37870370370370371</v>
      </c>
      <c r="C219" t="s">
        <v>155</v>
      </c>
      <c r="D219" t="s">
        <v>155</v>
      </c>
      <c r="E219" t="s">
        <v>277</v>
      </c>
      <c r="F219">
        <v>10000000</v>
      </c>
      <c r="G219" t="s">
        <v>61</v>
      </c>
    </row>
    <row r="220" spans="1:7" x14ac:dyDescent="0.3">
      <c r="A220" s="42">
        <v>46187</v>
      </c>
      <c r="B220" s="43">
        <v>0.37849537037037029</v>
      </c>
      <c r="C220" t="s">
        <v>155</v>
      </c>
      <c r="D220" t="s">
        <v>155</v>
      </c>
      <c r="E220" t="s">
        <v>277</v>
      </c>
      <c r="F220">
        <v>10000000</v>
      </c>
      <c r="G220" t="s">
        <v>61</v>
      </c>
    </row>
    <row r="221" spans="1:7" x14ac:dyDescent="0.3">
      <c r="A221" s="42">
        <v>46187</v>
      </c>
      <c r="B221" s="43">
        <v>0.37827546296296288</v>
      </c>
      <c r="C221" t="s">
        <v>155</v>
      </c>
      <c r="D221" t="s">
        <v>155</v>
      </c>
      <c r="E221" t="s">
        <v>277</v>
      </c>
      <c r="F221">
        <v>10000000</v>
      </c>
      <c r="G221" t="s">
        <v>61</v>
      </c>
    </row>
    <row r="222" spans="1:7" x14ac:dyDescent="0.3">
      <c r="A222" s="42">
        <v>46187</v>
      </c>
      <c r="B222" s="43">
        <v>0.34556712962962971</v>
      </c>
      <c r="C222" t="s">
        <v>155</v>
      </c>
      <c r="D222" t="s">
        <v>155</v>
      </c>
      <c r="E222" t="s">
        <v>297</v>
      </c>
      <c r="F222">
        <v>4500</v>
      </c>
      <c r="G222" t="s">
        <v>158</v>
      </c>
    </row>
    <row r="223" spans="1:7" x14ac:dyDescent="0.3">
      <c r="A223" s="42">
        <v>46186</v>
      </c>
      <c r="B223" s="43">
        <v>0.86362268518518515</v>
      </c>
      <c r="C223" t="s">
        <v>155</v>
      </c>
      <c r="D223" t="s">
        <v>155</v>
      </c>
      <c r="E223" t="s">
        <v>303</v>
      </c>
      <c r="F223">
        <v>90000</v>
      </c>
      <c r="G223" t="s">
        <v>61</v>
      </c>
    </row>
    <row r="224" spans="1:7" x14ac:dyDescent="0.3">
      <c r="A224" s="42">
        <v>46186</v>
      </c>
      <c r="B224" s="43">
        <v>0.57269675925925922</v>
      </c>
      <c r="C224" t="s">
        <v>152</v>
      </c>
      <c r="D224" t="s">
        <v>49</v>
      </c>
      <c r="E224" t="s">
        <v>288</v>
      </c>
      <c r="F224">
        <v>-14500</v>
      </c>
      <c r="G224" t="s">
        <v>154</v>
      </c>
    </row>
    <row r="225" spans="1:7" x14ac:dyDescent="0.3">
      <c r="A225" s="42">
        <v>46186</v>
      </c>
      <c r="B225" s="43">
        <v>0.42660879629629628</v>
      </c>
      <c r="C225" t="s">
        <v>152</v>
      </c>
      <c r="D225" t="s">
        <v>36</v>
      </c>
      <c r="E225" t="s">
        <v>274</v>
      </c>
      <c r="F225">
        <v>-1650</v>
      </c>
      <c r="G225" t="s">
        <v>161</v>
      </c>
    </row>
    <row r="226" spans="1:7" x14ac:dyDescent="0.3">
      <c r="A226" s="42">
        <v>46186</v>
      </c>
      <c r="B226" s="43">
        <v>0.39887731481481481</v>
      </c>
      <c r="C226" t="s">
        <v>155</v>
      </c>
      <c r="D226" t="s">
        <v>163</v>
      </c>
      <c r="E226" t="s">
        <v>164</v>
      </c>
      <c r="F226">
        <v>188500</v>
      </c>
      <c r="G226" t="s">
        <v>158</v>
      </c>
    </row>
    <row r="227" spans="1:7" x14ac:dyDescent="0.3">
      <c r="A227" s="42">
        <v>46186</v>
      </c>
      <c r="B227" s="43">
        <v>0.39887731481481481</v>
      </c>
      <c r="C227" t="s">
        <v>155</v>
      </c>
      <c r="D227" t="s">
        <v>155</v>
      </c>
      <c r="E227" t="s">
        <v>304</v>
      </c>
      <c r="F227">
        <v>-200000</v>
      </c>
      <c r="G227" t="s">
        <v>158</v>
      </c>
    </row>
    <row r="228" spans="1:7" x14ac:dyDescent="0.3">
      <c r="A228" s="42">
        <v>46186</v>
      </c>
      <c r="B228" s="43">
        <v>0.39887731481481481</v>
      </c>
      <c r="C228" t="s">
        <v>155</v>
      </c>
      <c r="D228" t="s">
        <v>163</v>
      </c>
      <c r="E228" t="s">
        <v>166</v>
      </c>
      <c r="F228">
        <v>-188500</v>
      </c>
      <c r="G228" t="s">
        <v>61</v>
      </c>
    </row>
    <row r="229" spans="1:7" x14ac:dyDescent="0.3">
      <c r="A229" s="42">
        <v>46185</v>
      </c>
      <c r="B229" s="43">
        <v>0.43409722222222219</v>
      </c>
      <c r="C229" t="s">
        <v>152</v>
      </c>
      <c r="D229" t="s">
        <v>44</v>
      </c>
      <c r="E229" t="s">
        <v>159</v>
      </c>
      <c r="F229">
        <v>-13900</v>
      </c>
      <c r="G229" t="s">
        <v>154</v>
      </c>
    </row>
    <row r="230" spans="1:7" x14ac:dyDescent="0.3">
      <c r="A230" s="42">
        <v>46185</v>
      </c>
      <c r="B230" s="43">
        <v>0.42927083333333332</v>
      </c>
      <c r="C230" t="s">
        <v>152</v>
      </c>
      <c r="D230" t="s">
        <v>36</v>
      </c>
      <c r="E230" t="s">
        <v>274</v>
      </c>
      <c r="F230">
        <v>-1750</v>
      </c>
      <c r="G230" t="s">
        <v>161</v>
      </c>
    </row>
    <row r="231" spans="1:7" x14ac:dyDescent="0.3">
      <c r="A231" s="42">
        <v>46184</v>
      </c>
      <c r="B231" s="43">
        <v>0.89976851851851847</v>
      </c>
      <c r="C231" t="s">
        <v>152</v>
      </c>
      <c r="D231" t="s">
        <v>44</v>
      </c>
      <c r="E231" t="s">
        <v>190</v>
      </c>
      <c r="F231">
        <v>7880</v>
      </c>
      <c r="G231" t="s">
        <v>154</v>
      </c>
    </row>
    <row r="232" spans="1:7" x14ac:dyDescent="0.3">
      <c r="A232" s="42">
        <v>46184</v>
      </c>
      <c r="B232" s="43">
        <v>0.88237268518518519</v>
      </c>
      <c r="C232" t="s">
        <v>152</v>
      </c>
      <c r="D232" t="s">
        <v>44</v>
      </c>
      <c r="E232" t="s">
        <v>190</v>
      </c>
      <c r="F232">
        <v>-7880</v>
      </c>
      <c r="G232" t="s">
        <v>154</v>
      </c>
    </row>
    <row r="233" spans="1:7" x14ac:dyDescent="0.3">
      <c r="A233" s="42">
        <v>46184</v>
      </c>
      <c r="B233" s="43">
        <v>0.6306018518518518</v>
      </c>
      <c r="C233" t="s">
        <v>152</v>
      </c>
      <c r="D233" t="s">
        <v>47</v>
      </c>
      <c r="E233" t="s">
        <v>305</v>
      </c>
      <c r="F233">
        <v>-50000</v>
      </c>
      <c r="G233" t="s">
        <v>169</v>
      </c>
    </row>
    <row r="234" spans="1:7" x14ac:dyDescent="0.3">
      <c r="A234" s="42">
        <v>46184</v>
      </c>
      <c r="B234" s="43">
        <v>0.41089120370370369</v>
      </c>
      <c r="C234" t="s">
        <v>152</v>
      </c>
      <c r="D234" t="s">
        <v>36</v>
      </c>
      <c r="E234" t="s">
        <v>243</v>
      </c>
      <c r="F234">
        <v>-1500</v>
      </c>
      <c r="G234" t="s">
        <v>161</v>
      </c>
    </row>
    <row r="235" spans="1:7" x14ac:dyDescent="0.3">
      <c r="A235" s="42">
        <v>46184</v>
      </c>
      <c r="B235" s="43">
        <v>0.41089120370370369</v>
      </c>
      <c r="C235" t="s">
        <v>152</v>
      </c>
      <c r="D235" t="s">
        <v>36</v>
      </c>
      <c r="E235" t="s">
        <v>244</v>
      </c>
      <c r="F235">
        <v>-2000</v>
      </c>
      <c r="G235" t="s">
        <v>161</v>
      </c>
    </row>
    <row r="236" spans="1:7" x14ac:dyDescent="0.3">
      <c r="A236" s="42">
        <v>46184</v>
      </c>
      <c r="B236" s="43">
        <v>0.32634259259259257</v>
      </c>
      <c r="C236" t="s">
        <v>155</v>
      </c>
      <c r="D236" t="s">
        <v>155</v>
      </c>
      <c r="E236" t="s">
        <v>210</v>
      </c>
      <c r="F236">
        <v>3000000</v>
      </c>
      <c r="G236" t="s">
        <v>60</v>
      </c>
    </row>
    <row r="237" spans="1:7" x14ac:dyDescent="0.3">
      <c r="A237" s="42">
        <v>46183</v>
      </c>
      <c r="B237" s="43">
        <v>0.77961805555555552</v>
      </c>
      <c r="C237" t="s">
        <v>152</v>
      </c>
      <c r="D237" t="s">
        <v>44</v>
      </c>
      <c r="E237" t="s">
        <v>306</v>
      </c>
      <c r="F237">
        <v>-11000</v>
      </c>
      <c r="G237" t="s">
        <v>180</v>
      </c>
    </row>
    <row r="238" spans="1:7" x14ac:dyDescent="0.3">
      <c r="A238" s="42">
        <v>46183</v>
      </c>
      <c r="B238" s="43">
        <v>0.62172453703703701</v>
      </c>
      <c r="C238" t="s">
        <v>176</v>
      </c>
      <c r="D238" t="s">
        <v>32</v>
      </c>
      <c r="E238" t="s">
        <v>177</v>
      </c>
      <c r="F238">
        <v>60300</v>
      </c>
      <c r="G238" t="s">
        <v>61</v>
      </c>
    </row>
    <row r="239" spans="1:7" x14ac:dyDescent="0.3">
      <c r="A239" s="42">
        <v>46183</v>
      </c>
      <c r="B239" s="43">
        <v>0.49178240740740742</v>
      </c>
      <c r="C239" t="s">
        <v>152</v>
      </c>
      <c r="D239" t="s">
        <v>44</v>
      </c>
      <c r="E239" t="s">
        <v>179</v>
      </c>
      <c r="F239">
        <v>-34900</v>
      </c>
      <c r="G239" t="s">
        <v>180</v>
      </c>
    </row>
    <row r="240" spans="1:7" x14ac:dyDescent="0.3">
      <c r="A240" s="42">
        <v>46183</v>
      </c>
      <c r="B240" s="43">
        <v>0.46395833333333331</v>
      </c>
      <c r="C240" t="s">
        <v>152</v>
      </c>
      <c r="D240" t="s">
        <v>42</v>
      </c>
      <c r="E240" t="s">
        <v>307</v>
      </c>
      <c r="F240">
        <v>-15000</v>
      </c>
      <c r="G240" t="s">
        <v>180</v>
      </c>
    </row>
    <row r="241" spans="1:7" x14ac:dyDescent="0.3">
      <c r="A241" s="42">
        <v>46183</v>
      </c>
      <c r="B241" s="43">
        <v>0.41410879629629632</v>
      </c>
      <c r="C241" t="s">
        <v>152</v>
      </c>
      <c r="D241" t="s">
        <v>44</v>
      </c>
      <c r="E241" t="s">
        <v>190</v>
      </c>
      <c r="F241">
        <v>-13010</v>
      </c>
      <c r="G241" t="s">
        <v>154</v>
      </c>
    </row>
    <row r="242" spans="1:7" x14ac:dyDescent="0.3">
      <c r="A242" s="42">
        <v>46183</v>
      </c>
      <c r="B242" s="43">
        <v>0.40614583333333332</v>
      </c>
      <c r="C242" t="s">
        <v>152</v>
      </c>
      <c r="D242" t="s">
        <v>36</v>
      </c>
      <c r="E242" t="s">
        <v>274</v>
      </c>
      <c r="F242">
        <v>-1340</v>
      </c>
      <c r="G242" t="s">
        <v>161</v>
      </c>
    </row>
    <row r="243" spans="1:7" x14ac:dyDescent="0.3">
      <c r="A243" s="42">
        <v>46183</v>
      </c>
      <c r="B243" s="43">
        <v>0.2353240740740741</v>
      </c>
      <c r="C243" t="s">
        <v>152</v>
      </c>
      <c r="D243" t="s">
        <v>44</v>
      </c>
      <c r="E243" t="s">
        <v>190</v>
      </c>
      <c r="F243">
        <v>-19400</v>
      </c>
      <c r="G243" t="s">
        <v>154</v>
      </c>
    </row>
    <row r="244" spans="1:7" x14ac:dyDescent="0.3">
      <c r="A244" s="42">
        <v>46183</v>
      </c>
      <c r="B244" s="43">
        <v>4.2372685185185187E-2</v>
      </c>
      <c r="C244" t="s">
        <v>152</v>
      </c>
      <c r="D244" t="s">
        <v>48</v>
      </c>
      <c r="E244" t="s">
        <v>308</v>
      </c>
      <c r="F244">
        <v>-11100</v>
      </c>
      <c r="G244" t="s">
        <v>154</v>
      </c>
    </row>
    <row r="245" spans="1:7" x14ac:dyDescent="0.3">
      <c r="A245" s="42">
        <v>46183</v>
      </c>
      <c r="B245" s="43">
        <v>0</v>
      </c>
      <c r="C245" t="s">
        <v>152</v>
      </c>
      <c r="D245" t="s">
        <v>44</v>
      </c>
      <c r="E245" t="s">
        <v>309</v>
      </c>
      <c r="F245">
        <v>11000</v>
      </c>
      <c r="G245" t="s">
        <v>186</v>
      </c>
    </row>
    <row r="246" spans="1:7" x14ac:dyDescent="0.3">
      <c r="A246" s="42">
        <v>46182</v>
      </c>
      <c r="B246" s="43">
        <v>0.46902777777777782</v>
      </c>
      <c r="C246" t="s">
        <v>155</v>
      </c>
      <c r="D246" t="s">
        <v>163</v>
      </c>
      <c r="E246" t="s">
        <v>7</v>
      </c>
      <c r="F246">
        <v>20000000</v>
      </c>
      <c r="G246" t="s">
        <v>67</v>
      </c>
    </row>
    <row r="247" spans="1:7" x14ac:dyDescent="0.3">
      <c r="A247" s="42">
        <v>46182</v>
      </c>
      <c r="B247" s="43">
        <v>0.39828703703703711</v>
      </c>
      <c r="C247" t="s">
        <v>155</v>
      </c>
      <c r="D247" t="s">
        <v>217</v>
      </c>
      <c r="E247" t="s">
        <v>310</v>
      </c>
      <c r="F247">
        <v>1</v>
      </c>
      <c r="G247" t="s">
        <v>61</v>
      </c>
    </row>
    <row r="248" spans="1:7" x14ac:dyDescent="0.3">
      <c r="A248" s="42">
        <v>46182</v>
      </c>
      <c r="B248" s="43">
        <v>4.2372685185185187E-2</v>
      </c>
      <c r="C248" t="s">
        <v>152</v>
      </c>
      <c r="D248" t="s">
        <v>48</v>
      </c>
      <c r="E248" t="s">
        <v>311</v>
      </c>
      <c r="F248">
        <v>-35000</v>
      </c>
      <c r="G248" t="s">
        <v>154</v>
      </c>
    </row>
    <row r="249" spans="1:7" x14ac:dyDescent="0.3">
      <c r="A249" s="42">
        <v>46182</v>
      </c>
      <c r="B249" s="43">
        <v>4.2372685185185187E-2</v>
      </c>
      <c r="C249" t="s">
        <v>152</v>
      </c>
      <c r="D249" t="s">
        <v>48</v>
      </c>
      <c r="E249" t="s">
        <v>311</v>
      </c>
      <c r="F249">
        <v>-39930</v>
      </c>
      <c r="G249" t="s">
        <v>154</v>
      </c>
    </row>
    <row r="250" spans="1:7" x14ac:dyDescent="0.3">
      <c r="A250" s="42">
        <v>46181</v>
      </c>
      <c r="B250" s="43">
        <v>0.71994212962962967</v>
      </c>
      <c r="C250" t="s">
        <v>152</v>
      </c>
      <c r="D250" t="s">
        <v>47</v>
      </c>
      <c r="E250" t="s">
        <v>312</v>
      </c>
      <c r="F250">
        <v>-54000</v>
      </c>
      <c r="G250" t="s">
        <v>182</v>
      </c>
    </row>
    <row r="251" spans="1:7" x14ac:dyDescent="0.3">
      <c r="A251" s="42">
        <v>46181</v>
      </c>
      <c r="B251" s="43">
        <v>0.41260416666666672</v>
      </c>
      <c r="C251" t="s">
        <v>176</v>
      </c>
      <c r="D251" t="s">
        <v>32</v>
      </c>
      <c r="E251" t="s">
        <v>313</v>
      </c>
      <c r="F251">
        <v>1</v>
      </c>
      <c r="G251" t="s">
        <v>64</v>
      </c>
    </row>
    <row r="252" spans="1:7" x14ac:dyDescent="0.3">
      <c r="A252" s="42">
        <v>46181</v>
      </c>
      <c r="B252" s="43">
        <v>0.41035879629629629</v>
      </c>
      <c r="C252" t="s">
        <v>152</v>
      </c>
      <c r="D252" t="s">
        <v>36</v>
      </c>
      <c r="E252" t="s">
        <v>243</v>
      </c>
      <c r="F252">
        <v>-1500</v>
      </c>
      <c r="G252" t="s">
        <v>161</v>
      </c>
    </row>
    <row r="253" spans="1:7" x14ac:dyDescent="0.3">
      <c r="A253" s="42">
        <v>46181</v>
      </c>
      <c r="B253" s="43">
        <v>0.41035879629629629</v>
      </c>
      <c r="C253" t="s">
        <v>152</v>
      </c>
      <c r="D253" t="s">
        <v>36</v>
      </c>
      <c r="E253" t="s">
        <v>314</v>
      </c>
      <c r="F253">
        <v>-3450</v>
      </c>
      <c r="G253" t="s">
        <v>161</v>
      </c>
    </row>
    <row r="254" spans="1:7" x14ac:dyDescent="0.3">
      <c r="A254" s="42">
        <v>46180</v>
      </c>
      <c r="B254" s="43">
        <v>0.78998842592592589</v>
      </c>
      <c r="C254" t="s">
        <v>152</v>
      </c>
      <c r="D254" t="s">
        <v>40</v>
      </c>
      <c r="E254" t="s">
        <v>248</v>
      </c>
      <c r="F254">
        <v>-13900</v>
      </c>
      <c r="G254" t="s">
        <v>180</v>
      </c>
    </row>
    <row r="255" spans="1:7" x14ac:dyDescent="0.3">
      <c r="A255" s="42">
        <v>46180</v>
      </c>
      <c r="B255" s="43">
        <v>0.54219907407407408</v>
      </c>
      <c r="C255" t="s">
        <v>152</v>
      </c>
      <c r="D255" t="s">
        <v>50</v>
      </c>
      <c r="E255" t="s">
        <v>315</v>
      </c>
      <c r="F255">
        <v>-8200</v>
      </c>
      <c r="G255" t="s">
        <v>186</v>
      </c>
    </row>
    <row r="256" spans="1:7" x14ac:dyDescent="0.3">
      <c r="A256" s="42">
        <v>46180</v>
      </c>
      <c r="B256" s="43">
        <v>0.51030092592592591</v>
      </c>
      <c r="C256" t="s">
        <v>152</v>
      </c>
      <c r="D256" t="s">
        <v>49</v>
      </c>
      <c r="E256" t="s">
        <v>316</v>
      </c>
      <c r="F256">
        <v>-6300</v>
      </c>
      <c r="G256" t="s">
        <v>186</v>
      </c>
    </row>
    <row r="257" spans="1:7" x14ac:dyDescent="0.3">
      <c r="A257" s="42">
        <v>46180</v>
      </c>
      <c r="B257" s="43">
        <v>0.44210648148148152</v>
      </c>
      <c r="C257" t="s">
        <v>155</v>
      </c>
      <c r="D257" t="s">
        <v>155</v>
      </c>
      <c r="E257" t="s">
        <v>297</v>
      </c>
      <c r="F257">
        <v>4500</v>
      </c>
      <c r="G257" t="s">
        <v>158</v>
      </c>
    </row>
    <row r="258" spans="1:7" x14ac:dyDescent="0.3">
      <c r="A258" s="42">
        <v>46180</v>
      </c>
      <c r="B258" s="43">
        <v>0.40862268518518519</v>
      </c>
      <c r="C258" t="s">
        <v>152</v>
      </c>
      <c r="D258" t="s">
        <v>36</v>
      </c>
      <c r="E258" t="s">
        <v>243</v>
      </c>
      <c r="F258">
        <v>-1500</v>
      </c>
      <c r="G258" t="s">
        <v>161</v>
      </c>
    </row>
    <row r="259" spans="1:7" x14ac:dyDescent="0.3">
      <c r="A259" s="42">
        <v>46180</v>
      </c>
      <c r="B259" s="43">
        <v>0.40862268518518519</v>
      </c>
      <c r="C259" t="s">
        <v>152</v>
      </c>
      <c r="D259" t="s">
        <v>36</v>
      </c>
      <c r="E259" t="s">
        <v>244</v>
      </c>
      <c r="F259">
        <v>-2000</v>
      </c>
      <c r="G259" t="s">
        <v>161</v>
      </c>
    </row>
    <row r="260" spans="1:7" x14ac:dyDescent="0.3">
      <c r="A260" s="42">
        <v>46180</v>
      </c>
      <c r="B260" s="43">
        <v>0.16918981481481479</v>
      </c>
      <c r="C260" t="s">
        <v>152</v>
      </c>
      <c r="D260" t="s">
        <v>36</v>
      </c>
      <c r="E260" t="s">
        <v>250</v>
      </c>
      <c r="F260">
        <v>-41200</v>
      </c>
      <c r="G260" t="s">
        <v>180</v>
      </c>
    </row>
    <row r="261" spans="1:7" x14ac:dyDescent="0.3">
      <c r="A261" s="42">
        <v>46179</v>
      </c>
      <c r="B261" s="43">
        <v>0.8344907407407407</v>
      </c>
      <c r="C261" t="s">
        <v>152</v>
      </c>
      <c r="D261" t="s">
        <v>40</v>
      </c>
      <c r="E261" t="s">
        <v>289</v>
      </c>
      <c r="F261">
        <v>-11200</v>
      </c>
      <c r="G261" t="s">
        <v>186</v>
      </c>
    </row>
    <row r="262" spans="1:7" x14ac:dyDescent="0.3">
      <c r="A262" s="42">
        <v>46179</v>
      </c>
      <c r="B262" s="43">
        <v>0.8299305555555555</v>
      </c>
      <c r="C262" t="s">
        <v>155</v>
      </c>
      <c r="D262" t="s">
        <v>163</v>
      </c>
      <c r="E262" t="s">
        <v>164</v>
      </c>
      <c r="F262">
        <v>10000</v>
      </c>
      <c r="G262" t="s">
        <v>158</v>
      </c>
    </row>
    <row r="263" spans="1:7" x14ac:dyDescent="0.3">
      <c r="A263" s="42">
        <v>46179</v>
      </c>
      <c r="B263" s="43">
        <v>0.8299305555555555</v>
      </c>
      <c r="C263" t="s">
        <v>155</v>
      </c>
      <c r="D263" t="s">
        <v>155</v>
      </c>
      <c r="E263" t="s">
        <v>317</v>
      </c>
      <c r="F263">
        <v>-3000</v>
      </c>
      <c r="G263" t="s">
        <v>158</v>
      </c>
    </row>
    <row r="264" spans="1:7" x14ac:dyDescent="0.3">
      <c r="A264" s="42">
        <v>46179</v>
      </c>
      <c r="B264" s="43">
        <v>0.8299305555555555</v>
      </c>
      <c r="C264" t="s">
        <v>155</v>
      </c>
      <c r="D264" t="s">
        <v>163</v>
      </c>
      <c r="E264" t="s">
        <v>166</v>
      </c>
      <c r="F264">
        <v>-10000</v>
      </c>
      <c r="G264" t="s">
        <v>61</v>
      </c>
    </row>
    <row r="265" spans="1:7" x14ac:dyDescent="0.3">
      <c r="A265" s="42">
        <v>46179</v>
      </c>
      <c r="B265" s="43">
        <v>0.73814814814814811</v>
      </c>
      <c r="C265" t="s">
        <v>152</v>
      </c>
      <c r="D265" t="s">
        <v>38</v>
      </c>
      <c r="E265" t="s">
        <v>318</v>
      </c>
      <c r="F265">
        <v>-31000</v>
      </c>
      <c r="G265" t="s">
        <v>186</v>
      </c>
    </row>
    <row r="266" spans="1:7" x14ac:dyDescent="0.3">
      <c r="A266" s="42">
        <v>46179</v>
      </c>
      <c r="B266" s="43">
        <v>0.51149305555555558</v>
      </c>
      <c r="C266" t="s">
        <v>152</v>
      </c>
      <c r="D266" t="s">
        <v>42</v>
      </c>
      <c r="E266" t="s">
        <v>319</v>
      </c>
      <c r="F266">
        <v>-55000</v>
      </c>
      <c r="G266" t="s">
        <v>186</v>
      </c>
    </row>
    <row r="267" spans="1:7" x14ac:dyDescent="0.3">
      <c r="A267" s="42">
        <v>46179</v>
      </c>
      <c r="B267" s="43">
        <v>0.40923611111111108</v>
      </c>
      <c r="C267" t="s">
        <v>152</v>
      </c>
      <c r="D267" t="s">
        <v>36</v>
      </c>
      <c r="E267" t="s">
        <v>243</v>
      </c>
      <c r="F267">
        <v>-1500</v>
      </c>
      <c r="G267" t="s">
        <v>161</v>
      </c>
    </row>
    <row r="268" spans="1:7" x14ac:dyDescent="0.3">
      <c r="A268" s="42">
        <v>46179</v>
      </c>
      <c r="B268" s="43">
        <v>0.40923611111111108</v>
      </c>
      <c r="C268" t="s">
        <v>152</v>
      </c>
      <c r="D268" t="s">
        <v>36</v>
      </c>
      <c r="E268" t="s">
        <v>314</v>
      </c>
      <c r="F268">
        <v>-3550</v>
      </c>
      <c r="G268" t="s">
        <v>161</v>
      </c>
    </row>
    <row r="269" spans="1:7" x14ac:dyDescent="0.3">
      <c r="A269" s="42">
        <v>46178</v>
      </c>
      <c r="B269" s="43">
        <v>0.73598379629629629</v>
      </c>
      <c r="C269" t="s">
        <v>155</v>
      </c>
      <c r="D269" t="s">
        <v>155</v>
      </c>
      <c r="E269" t="s">
        <v>166</v>
      </c>
      <c r="F269">
        <v>-10000</v>
      </c>
      <c r="G269" t="s">
        <v>61</v>
      </c>
    </row>
    <row r="270" spans="1:7" x14ac:dyDescent="0.3">
      <c r="A270" s="42">
        <v>46178</v>
      </c>
      <c r="B270" s="43">
        <v>0.66591435185185188</v>
      </c>
      <c r="C270" t="s">
        <v>152</v>
      </c>
      <c r="D270" t="s">
        <v>50</v>
      </c>
      <c r="E270" t="s">
        <v>184</v>
      </c>
      <c r="F270">
        <v>-1600</v>
      </c>
      <c r="G270" t="s">
        <v>186</v>
      </c>
    </row>
    <row r="271" spans="1:7" x14ac:dyDescent="0.3">
      <c r="A271" s="42">
        <v>46177</v>
      </c>
      <c r="B271" s="43">
        <v>0.62809027777777782</v>
      </c>
      <c r="C271" t="s">
        <v>152</v>
      </c>
      <c r="D271" t="s">
        <v>50</v>
      </c>
      <c r="E271" t="s">
        <v>184</v>
      </c>
      <c r="F271">
        <v>-4800</v>
      </c>
      <c r="G271" t="s">
        <v>186</v>
      </c>
    </row>
    <row r="272" spans="1:7" x14ac:dyDescent="0.3">
      <c r="A272" s="42">
        <v>46177</v>
      </c>
      <c r="B272" s="43">
        <v>0.50592592592592589</v>
      </c>
      <c r="C272" t="s">
        <v>152</v>
      </c>
      <c r="D272" t="s">
        <v>50</v>
      </c>
      <c r="E272" t="s">
        <v>184</v>
      </c>
      <c r="F272">
        <v>-8500</v>
      </c>
      <c r="G272" t="s">
        <v>186</v>
      </c>
    </row>
    <row r="273" spans="1:7" x14ac:dyDescent="0.3">
      <c r="A273" s="42">
        <v>46177</v>
      </c>
      <c r="B273" s="43">
        <v>0.41287037037037039</v>
      </c>
      <c r="C273" t="s">
        <v>155</v>
      </c>
      <c r="D273" t="s">
        <v>155</v>
      </c>
      <c r="E273" t="s">
        <v>320</v>
      </c>
      <c r="F273">
        <v>46274</v>
      </c>
      <c r="G273" t="s">
        <v>61</v>
      </c>
    </row>
    <row r="274" spans="1:7" x14ac:dyDescent="0.3">
      <c r="A274" s="42">
        <v>46177</v>
      </c>
      <c r="B274" s="43">
        <v>0.40946759259259258</v>
      </c>
      <c r="C274" t="s">
        <v>152</v>
      </c>
      <c r="D274" t="s">
        <v>36</v>
      </c>
      <c r="E274" t="s">
        <v>243</v>
      </c>
      <c r="F274">
        <v>-1500</v>
      </c>
      <c r="G274" t="s">
        <v>161</v>
      </c>
    </row>
    <row r="275" spans="1:7" x14ac:dyDescent="0.3">
      <c r="A275" s="42">
        <v>46177</v>
      </c>
      <c r="B275" s="43">
        <v>0.40946759259259258</v>
      </c>
      <c r="C275" t="s">
        <v>152</v>
      </c>
      <c r="D275" t="s">
        <v>36</v>
      </c>
      <c r="E275" t="s">
        <v>244</v>
      </c>
      <c r="F275">
        <v>-2000</v>
      </c>
      <c r="G275" t="s">
        <v>161</v>
      </c>
    </row>
    <row r="276" spans="1:7" x14ac:dyDescent="0.3">
      <c r="A276" s="42">
        <v>46176</v>
      </c>
      <c r="B276" s="43">
        <v>0.72671296296296295</v>
      </c>
      <c r="C276" t="s">
        <v>152</v>
      </c>
      <c r="D276" t="s">
        <v>45</v>
      </c>
      <c r="E276" t="s">
        <v>321</v>
      </c>
      <c r="F276">
        <v>-24100</v>
      </c>
      <c r="G276" t="s">
        <v>186</v>
      </c>
    </row>
    <row r="277" spans="1:7" x14ac:dyDescent="0.3">
      <c r="A277" s="42">
        <v>46176</v>
      </c>
      <c r="B277" s="43">
        <v>0.60593750000000002</v>
      </c>
      <c r="C277" t="s">
        <v>152</v>
      </c>
      <c r="D277" t="s">
        <v>50</v>
      </c>
      <c r="E277" t="s">
        <v>322</v>
      </c>
      <c r="F277">
        <v>-12150</v>
      </c>
      <c r="G277" t="s">
        <v>186</v>
      </c>
    </row>
    <row r="278" spans="1:7" x14ac:dyDescent="0.3">
      <c r="A278" s="42">
        <v>46176</v>
      </c>
      <c r="B278" s="43">
        <v>0.58886574074074072</v>
      </c>
      <c r="C278" t="s">
        <v>152</v>
      </c>
      <c r="D278" t="s">
        <v>40</v>
      </c>
      <c r="E278" t="s">
        <v>323</v>
      </c>
      <c r="F278">
        <v>-404050</v>
      </c>
      <c r="G278" t="s">
        <v>180</v>
      </c>
    </row>
    <row r="279" spans="1:7" x14ac:dyDescent="0.3">
      <c r="A279" s="42">
        <v>46176</v>
      </c>
      <c r="B279" s="43">
        <v>0.44866898148148149</v>
      </c>
      <c r="C279" t="s">
        <v>155</v>
      </c>
      <c r="D279" t="s">
        <v>163</v>
      </c>
      <c r="E279" t="s">
        <v>164</v>
      </c>
      <c r="F279">
        <v>17100</v>
      </c>
      <c r="G279" t="s">
        <v>158</v>
      </c>
    </row>
    <row r="280" spans="1:7" x14ac:dyDescent="0.3">
      <c r="A280" s="42">
        <v>46176</v>
      </c>
      <c r="B280" s="43">
        <v>0.44866898148148149</v>
      </c>
      <c r="C280" t="s">
        <v>155</v>
      </c>
      <c r="D280" t="s">
        <v>155</v>
      </c>
      <c r="E280" t="s">
        <v>324</v>
      </c>
      <c r="F280">
        <v>-100000</v>
      </c>
      <c r="G280" t="s">
        <v>158</v>
      </c>
    </row>
    <row r="281" spans="1:7" x14ac:dyDescent="0.3">
      <c r="A281" s="42">
        <v>46176</v>
      </c>
      <c r="B281" s="43">
        <v>0.44866898148148149</v>
      </c>
      <c r="C281" t="s">
        <v>155</v>
      </c>
      <c r="D281" t="s">
        <v>163</v>
      </c>
      <c r="E281" t="s">
        <v>166</v>
      </c>
      <c r="F281">
        <v>-17100</v>
      </c>
      <c r="G281" t="s">
        <v>61</v>
      </c>
    </row>
    <row r="282" spans="1:7" x14ac:dyDescent="0.3">
      <c r="A282" s="42">
        <v>46176</v>
      </c>
      <c r="B282" s="43">
        <v>0</v>
      </c>
      <c r="C282" t="s">
        <v>152</v>
      </c>
      <c r="D282" t="s">
        <v>36</v>
      </c>
      <c r="E282" t="s">
        <v>250</v>
      </c>
      <c r="F282">
        <v>46600</v>
      </c>
      <c r="G282" t="s">
        <v>266</v>
      </c>
    </row>
    <row r="283" spans="1:7" x14ac:dyDescent="0.3">
      <c r="A283" s="42">
        <v>46175</v>
      </c>
      <c r="B283" s="43">
        <v>0.66059027777777779</v>
      </c>
      <c r="C283" t="s">
        <v>152</v>
      </c>
      <c r="D283" t="s">
        <v>36</v>
      </c>
      <c r="E283" t="s">
        <v>250</v>
      </c>
      <c r="F283">
        <v>-46400</v>
      </c>
      <c r="G283" t="s">
        <v>180</v>
      </c>
    </row>
    <row r="284" spans="1:7" x14ac:dyDescent="0.3">
      <c r="A284" s="42">
        <v>46175</v>
      </c>
      <c r="B284" s="43">
        <v>0.39368055555555548</v>
      </c>
      <c r="C284" t="s">
        <v>152</v>
      </c>
      <c r="D284" t="s">
        <v>50</v>
      </c>
      <c r="E284" t="s">
        <v>184</v>
      </c>
      <c r="F284">
        <v>-1600</v>
      </c>
      <c r="G284" t="s">
        <v>186</v>
      </c>
    </row>
    <row r="285" spans="1:7" x14ac:dyDescent="0.3">
      <c r="A285" s="42">
        <v>46174</v>
      </c>
      <c r="B285" s="43">
        <v>0.89645833333333336</v>
      </c>
      <c r="C285" t="s">
        <v>152</v>
      </c>
      <c r="D285" t="s">
        <v>40</v>
      </c>
      <c r="E285" t="s">
        <v>289</v>
      </c>
      <c r="F285">
        <v>-7500</v>
      </c>
      <c r="G285" t="s">
        <v>186</v>
      </c>
    </row>
    <row r="286" spans="1:7" x14ac:dyDescent="0.3">
      <c r="A286" s="42">
        <v>46174</v>
      </c>
      <c r="B286" s="43">
        <v>0.89209490740740738</v>
      </c>
      <c r="C286" t="s">
        <v>152</v>
      </c>
      <c r="D286" t="s">
        <v>44</v>
      </c>
      <c r="E286" t="s">
        <v>309</v>
      </c>
      <c r="F286">
        <v>-11000</v>
      </c>
      <c r="G286" t="s">
        <v>186</v>
      </c>
    </row>
    <row r="287" spans="1:7" x14ac:dyDescent="0.3">
      <c r="A287" s="42">
        <v>46174</v>
      </c>
      <c r="B287" s="43">
        <v>0.88521990740740741</v>
      </c>
      <c r="C287" t="s">
        <v>152</v>
      </c>
      <c r="D287" t="s">
        <v>50</v>
      </c>
      <c r="E287" t="s">
        <v>325</v>
      </c>
      <c r="F287">
        <v>-1450731</v>
      </c>
      <c r="G287" t="s">
        <v>61</v>
      </c>
    </row>
    <row r="288" spans="1:7" x14ac:dyDescent="0.3">
      <c r="A288" s="42">
        <v>46174</v>
      </c>
      <c r="B288" s="43">
        <v>0.8842592592592593</v>
      </c>
      <c r="C288" t="s">
        <v>155</v>
      </c>
      <c r="D288" t="s">
        <v>213</v>
      </c>
      <c r="E288" t="s">
        <v>256</v>
      </c>
      <c r="F288">
        <v>-556298</v>
      </c>
      <c r="G288" t="s">
        <v>67</v>
      </c>
    </row>
    <row r="289" spans="1:7" x14ac:dyDescent="0.3">
      <c r="A289" s="42">
        <v>46174</v>
      </c>
      <c r="B289" s="43">
        <v>0.88342592592592595</v>
      </c>
      <c r="C289" t="s">
        <v>155</v>
      </c>
      <c r="D289" t="s">
        <v>163</v>
      </c>
      <c r="E289" t="s">
        <v>7</v>
      </c>
      <c r="F289">
        <v>-3000000</v>
      </c>
      <c r="G289" t="s">
        <v>60</v>
      </c>
    </row>
    <row r="290" spans="1:7" x14ac:dyDescent="0.3">
      <c r="A290" s="42">
        <v>46174</v>
      </c>
      <c r="B290" s="43">
        <v>0.88342592592592595</v>
      </c>
      <c r="C290" t="s">
        <v>155</v>
      </c>
      <c r="D290" t="s">
        <v>163</v>
      </c>
      <c r="E290" t="s">
        <v>7</v>
      </c>
      <c r="F290">
        <v>3000000</v>
      </c>
      <c r="G290" t="s">
        <v>61</v>
      </c>
    </row>
    <row r="291" spans="1:7" x14ac:dyDescent="0.3">
      <c r="A291" s="42">
        <v>46174</v>
      </c>
      <c r="B291" s="43">
        <v>0.88290509259259264</v>
      </c>
      <c r="C291" t="s">
        <v>155</v>
      </c>
      <c r="D291" t="s">
        <v>213</v>
      </c>
      <c r="E291" t="s">
        <v>326</v>
      </c>
      <c r="F291">
        <v>-723020</v>
      </c>
      <c r="G291" t="s">
        <v>61</v>
      </c>
    </row>
    <row r="292" spans="1:7" x14ac:dyDescent="0.3">
      <c r="A292" s="42">
        <v>46174</v>
      </c>
      <c r="B292" s="43">
        <v>0.86967592592592591</v>
      </c>
      <c r="C292" t="s">
        <v>155</v>
      </c>
      <c r="D292" t="s">
        <v>71</v>
      </c>
      <c r="E292" t="s">
        <v>327</v>
      </c>
      <c r="F292">
        <v>-270000</v>
      </c>
      <c r="G292" t="s">
        <v>60</v>
      </c>
    </row>
    <row r="293" spans="1:7" x14ac:dyDescent="0.3">
      <c r="A293" s="42">
        <v>46174</v>
      </c>
      <c r="B293" s="43">
        <v>0.8139467592592593</v>
      </c>
      <c r="C293" t="s">
        <v>155</v>
      </c>
      <c r="D293" t="s">
        <v>213</v>
      </c>
      <c r="E293" t="s">
        <v>214</v>
      </c>
      <c r="F293">
        <v>-67350</v>
      </c>
      <c r="G293" t="s">
        <v>61</v>
      </c>
    </row>
    <row r="294" spans="1:7" x14ac:dyDescent="0.3">
      <c r="A294" s="42">
        <v>46174</v>
      </c>
      <c r="B294" s="43">
        <v>0.5554513888888889</v>
      </c>
      <c r="C294" t="s">
        <v>155</v>
      </c>
      <c r="D294" t="s">
        <v>155</v>
      </c>
      <c r="E294" t="s">
        <v>210</v>
      </c>
      <c r="F294">
        <v>213000</v>
      </c>
      <c r="G294" t="s">
        <v>60</v>
      </c>
    </row>
    <row r="295" spans="1:7" x14ac:dyDescent="0.3">
      <c r="A295" s="42">
        <v>46174</v>
      </c>
      <c r="B295" s="43">
        <v>0.44122685185185179</v>
      </c>
      <c r="C295" t="s">
        <v>155</v>
      </c>
      <c r="D295" t="s">
        <v>155</v>
      </c>
      <c r="E295" t="s">
        <v>219</v>
      </c>
      <c r="F295">
        <v>-300000</v>
      </c>
      <c r="G295" t="s">
        <v>60</v>
      </c>
    </row>
    <row r="296" spans="1:7" x14ac:dyDescent="0.3">
      <c r="A296" s="42">
        <v>46174</v>
      </c>
      <c r="B296" s="43">
        <v>0.43056712962962962</v>
      </c>
      <c r="C296" t="s">
        <v>152</v>
      </c>
      <c r="D296" t="s">
        <v>36</v>
      </c>
      <c r="E296" t="s">
        <v>225</v>
      </c>
      <c r="F296">
        <v>-3390</v>
      </c>
      <c r="G296" t="s">
        <v>161</v>
      </c>
    </row>
    <row r="297" spans="1:7" x14ac:dyDescent="0.3">
      <c r="A297" s="42">
        <v>46174</v>
      </c>
      <c r="B297" s="43">
        <v>0.39782407407407411</v>
      </c>
      <c r="C297" t="s">
        <v>152</v>
      </c>
      <c r="D297" t="s">
        <v>50</v>
      </c>
      <c r="E297" t="s">
        <v>184</v>
      </c>
      <c r="F297">
        <v>-1600</v>
      </c>
      <c r="G297" t="s">
        <v>186</v>
      </c>
    </row>
    <row r="298" spans="1:7" x14ac:dyDescent="0.3">
      <c r="A298" s="42">
        <v>46173</v>
      </c>
      <c r="B298" s="43">
        <v>0.70630787037037035</v>
      </c>
      <c r="C298" t="s">
        <v>152</v>
      </c>
      <c r="D298" t="s">
        <v>45</v>
      </c>
      <c r="E298" t="s">
        <v>328</v>
      </c>
      <c r="F298">
        <v>-4000</v>
      </c>
      <c r="G298" t="s">
        <v>186</v>
      </c>
    </row>
    <row r="299" spans="1:7" x14ac:dyDescent="0.3">
      <c r="A299" s="42">
        <v>46173</v>
      </c>
      <c r="B299" s="43">
        <v>0.69805555555555554</v>
      </c>
      <c r="C299" t="s">
        <v>152</v>
      </c>
      <c r="D299" t="s">
        <v>40</v>
      </c>
      <c r="E299" t="s">
        <v>329</v>
      </c>
      <c r="F299">
        <v>-7000</v>
      </c>
      <c r="G299" t="s">
        <v>186</v>
      </c>
    </row>
    <row r="300" spans="1:7" x14ac:dyDescent="0.3">
      <c r="A300" s="42">
        <v>46172</v>
      </c>
      <c r="B300" s="43">
        <v>0.75001157407407404</v>
      </c>
      <c r="C300" t="s">
        <v>152</v>
      </c>
      <c r="D300" t="s">
        <v>44</v>
      </c>
      <c r="E300" t="s">
        <v>330</v>
      </c>
      <c r="F300">
        <v>-71000</v>
      </c>
      <c r="G300" t="s">
        <v>186</v>
      </c>
    </row>
    <row r="301" spans="1:7" x14ac:dyDescent="0.3">
      <c r="A301" s="42">
        <v>46172</v>
      </c>
      <c r="B301" s="43">
        <v>0.67228009259259258</v>
      </c>
      <c r="C301" t="s">
        <v>152</v>
      </c>
      <c r="D301" t="s">
        <v>40</v>
      </c>
      <c r="E301" t="s">
        <v>331</v>
      </c>
      <c r="F301">
        <v>-12000</v>
      </c>
      <c r="G301" t="s">
        <v>186</v>
      </c>
    </row>
    <row r="302" spans="1:7" x14ac:dyDescent="0.3">
      <c r="A302" s="42">
        <v>46172</v>
      </c>
      <c r="B302" s="43">
        <v>0.59243055555555557</v>
      </c>
      <c r="C302" t="s">
        <v>152</v>
      </c>
      <c r="D302" t="s">
        <v>47</v>
      </c>
      <c r="E302" t="s">
        <v>332</v>
      </c>
      <c r="F302">
        <v>-60000</v>
      </c>
      <c r="G302" t="s">
        <v>186</v>
      </c>
    </row>
    <row r="303" spans="1:7" x14ac:dyDescent="0.3">
      <c r="A303" s="42">
        <v>46172</v>
      </c>
      <c r="B303" s="43">
        <v>0.48434027777777777</v>
      </c>
      <c r="C303" t="s">
        <v>152</v>
      </c>
      <c r="D303" t="s">
        <v>45</v>
      </c>
      <c r="E303" t="s">
        <v>333</v>
      </c>
      <c r="F303">
        <v>-83500</v>
      </c>
      <c r="G303" t="s">
        <v>266</v>
      </c>
    </row>
    <row r="304" spans="1:7" x14ac:dyDescent="0.3">
      <c r="A304" s="42">
        <v>46171</v>
      </c>
      <c r="B304" s="43">
        <v>0.61958333333333337</v>
      </c>
      <c r="C304" t="s">
        <v>152</v>
      </c>
      <c r="D304" t="s">
        <v>49</v>
      </c>
      <c r="E304" t="s">
        <v>288</v>
      </c>
      <c r="F304">
        <v>-25000</v>
      </c>
      <c r="G304" t="s">
        <v>266</v>
      </c>
    </row>
    <row r="305" spans="1:7" x14ac:dyDescent="0.3">
      <c r="A305" s="42">
        <v>46171</v>
      </c>
      <c r="B305" s="43">
        <v>0.41067129629629628</v>
      </c>
      <c r="C305" t="s">
        <v>152</v>
      </c>
      <c r="D305" t="s">
        <v>36</v>
      </c>
      <c r="E305" t="s">
        <v>243</v>
      </c>
      <c r="F305">
        <v>-1500</v>
      </c>
      <c r="G305" t="s">
        <v>161</v>
      </c>
    </row>
    <row r="306" spans="1:7" x14ac:dyDescent="0.3">
      <c r="A306" s="42">
        <v>46171</v>
      </c>
      <c r="B306" s="43">
        <v>0.41067129629629628</v>
      </c>
      <c r="C306" t="s">
        <v>152</v>
      </c>
      <c r="D306" t="s">
        <v>36</v>
      </c>
      <c r="E306" t="s">
        <v>225</v>
      </c>
      <c r="F306">
        <v>-1800</v>
      </c>
      <c r="G306" t="s">
        <v>161</v>
      </c>
    </row>
    <row r="307" spans="1:7" x14ac:dyDescent="0.3">
      <c r="A307" s="42">
        <v>46171</v>
      </c>
      <c r="B307" s="43">
        <v>0.40671296296296289</v>
      </c>
      <c r="C307" t="s">
        <v>152</v>
      </c>
      <c r="D307" t="s">
        <v>36</v>
      </c>
      <c r="E307" t="s">
        <v>334</v>
      </c>
      <c r="F307">
        <v>-200</v>
      </c>
      <c r="G307" t="s">
        <v>161</v>
      </c>
    </row>
    <row r="308" spans="1:7" x14ac:dyDescent="0.3">
      <c r="A308" s="42">
        <v>46170</v>
      </c>
      <c r="B308" s="43">
        <v>0.88898148148148148</v>
      </c>
      <c r="C308" t="s">
        <v>152</v>
      </c>
      <c r="D308" t="s">
        <v>40</v>
      </c>
      <c r="E308" t="s">
        <v>335</v>
      </c>
      <c r="F308">
        <v>-5000</v>
      </c>
      <c r="G308" t="s">
        <v>266</v>
      </c>
    </row>
    <row r="309" spans="1:7" x14ac:dyDescent="0.3">
      <c r="A309" s="42">
        <v>46170</v>
      </c>
      <c r="B309" s="43">
        <v>0.85543981481481479</v>
      </c>
      <c r="C309" t="s">
        <v>152</v>
      </c>
      <c r="D309" t="s">
        <v>43</v>
      </c>
      <c r="E309" t="s">
        <v>336</v>
      </c>
      <c r="F309">
        <v>-121000</v>
      </c>
      <c r="G309" t="s">
        <v>266</v>
      </c>
    </row>
    <row r="310" spans="1:7" x14ac:dyDescent="0.3">
      <c r="A310" s="42">
        <v>46170</v>
      </c>
      <c r="B310" s="43">
        <v>0.69704861111111116</v>
      </c>
      <c r="C310" t="s">
        <v>152</v>
      </c>
      <c r="D310" t="s">
        <v>42</v>
      </c>
      <c r="E310" t="s">
        <v>337</v>
      </c>
      <c r="F310">
        <v>-11500</v>
      </c>
      <c r="G310" t="s">
        <v>266</v>
      </c>
    </row>
    <row r="311" spans="1:7" x14ac:dyDescent="0.3">
      <c r="A311" s="42">
        <v>46170</v>
      </c>
      <c r="B311" s="43">
        <v>0.51174768518518521</v>
      </c>
      <c r="C311" t="s">
        <v>152</v>
      </c>
      <c r="D311" t="s">
        <v>36</v>
      </c>
      <c r="E311" t="s">
        <v>250</v>
      </c>
      <c r="F311">
        <v>-46600</v>
      </c>
      <c r="G311" t="s">
        <v>266</v>
      </c>
    </row>
    <row r="312" spans="1:7" x14ac:dyDescent="0.3">
      <c r="A312" s="42">
        <v>46169</v>
      </c>
      <c r="B312" s="43">
        <v>0.65020833333333339</v>
      </c>
      <c r="C312" t="s">
        <v>152</v>
      </c>
      <c r="D312" t="s">
        <v>49</v>
      </c>
      <c r="E312" t="s">
        <v>338</v>
      </c>
      <c r="F312">
        <v>-3710</v>
      </c>
      <c r="G312" t="s">
        <v>154</v>
      </c>
    </row>
    <row r="313" spans="1:7" x14ac:dyDescent="0.3">
      <c r="A313" s="42">
        <v>46169</v>
      </c>
      <c r="B313" s="43">
        <v>0.53019675925925924</v>
      </c>
      <c r="C313" t="s">
        <v>152</v>
      </c>
      <c r="D313" t="s">
        <v>37</v>
      </c>
      <c r="E313" t="s">
        <v>165</v>
      </c>
      <c r="F313">
        <v>-17100</v>
      </c>
      <c r="G313" t="s">
        <v>158</v>
      </c>
    </row>
    <row r="314" spans="1:7" x14ac:dyDescent="0.3">
      <c r="A314" s="42">
        <v>46169</v>
      </c>
      <c r="B314" s="43">
        <v>0.50050925925925926</v>
      </c>
      <c r="C314" t="s">
        <v>152</v>
      </c>
      <c r="D314" t="s">
        <v>49</v>
      </c>
      <c r="E314" t="s">
        <v>339</v>
      </c>
      <c r="F314">
        <v>-6300</v>
      </c>
      <c r="G314" t="s">
        <v>266</v>
      </c>
    </row>
    <row r="315" spans="1:7" x14ac:dyDescent="0.3">
      <c r="A315" s="42">
        <v>46169</v>
      </c>
      <c r="B315" s="43">
        <v>0.36515046296296289</v>
      </c>
      <c r="C315" t="s">
        <v>152</v>
      </c>
      <c r="D315" t="s">
        <v>49</v>
      </c>
      <c r="E315" t="s">
        <v>340</v>
      </c>
      <c r="F315">
        <v>-4000</v>
      </c>
      <c r="G315" t="s">
        <v>266</v>
      </c>
    </row>
    <row r="316" spans="1:7" x14ac:dyDescent="0.3">
      <c r="A316" s="42">
        <v>46168</v>
      </c>
      <c r="B316" s="43">
        <v>0.87446759259259255</v>
      </c>
      <c r="C316" t="s">
        <v>152</v>
      </c>
      <c r="D316" t="s">
        <v>47</v>
      </c>
      <c r="E316" t="s">
        <v>341</v>
      </c>
      <c r="F316">
        <v>-50000</v>
      </c>
      <c r="G316" t="s">
        <v>61</v>
      </c>
    </row>
    <row r="317" spans="1:7" x14ac:dyDescent="0.3">
      <c r="A317" s="42">
        <v>46168</v>
      </c>
      <c r="B317" s="43">
        <v>0.86326388888888894</v>
      </c>
      <c r="C317" t="s">
        <v>152</v>
      </c>
      <c r="D317" t="s">
        <v>37</v>
      </c>
      <c r="E317" t="s">
        <v>342</v>
      </c>
      <c r="F317">
        <v>-16900</v>
      </c>
      <c r="G317" t="s">
        <v>60</v>
      </c>
    </row>
    <row r="318" spans="1:7" x14ac:dyDescent="0.3">
      <c r="A318" s="42">
        <v>46168</v>
      </c>
      <c r="B318" s="43">
        <v>0.85767361111111107</v>
      </c>
      <c r="C318" t="s">
        <v>152</v>
      </c>
      <c r="D318" t="s">
        <v>37</v>
      </c>
      <c r="E318" t="s">
        <v>343</v>
      </c>
      <c r="F318">
        <v>-20000</v>
      </c>
      <c r="G318" t="s">
        <v>61</v>
      </c>
    </row>
    <row r="319" spans="1:7" x14ac:dyDescent="0.3">
      <c r="A319" s="42">
        <v>46168</v>
      </c>
      <c r="B319" s="43">
        <v>0.85682870370370368</v>
      </c>
      <c r="C319" t="s">
        <v>152</v>
      </c>
      <c r="D319" t="s">
        <v>37</v>
      </c>
      <c r="E319" t="s">
        <v>344</v>
      </c>
      <c r="F319">
        <v>-14261</v>
      </c>
      <c r="G319" t="s">
        <v>61</v>
      </c>
    </row>
    <row r="320" spans="1:7" x14ac:dyDescent="0.3">
      <c r="A320" s="42">
        <v>46168</v>
      </c>
      <c r="B320" s="43">
        <v>0.81049768518518517</v>
      </c>
      <c r="C320" t="s">
        <v>152</v>
      </c>
      <c r="D320" t="s">
        <v>37</v>
      </c>
      <c r="E320" t="s">
        <v>345</v>
      </c>
      <c r="F320">
        <v>-153178</v>
      </c>
      <c r="G320" t="s">
        <v>60</v>
      </c>
    </row>
    <row r="321" spans="1:7" x14ac:dyDescent="0.3">
      <c r="A321" s="42">
        <v>46168</v>
      </c>
      <c r="B321" s="43">
        <v>0.80906250000000002</v>
      </c>
      <c r="C321" t="s">
        <v>152</v>
      </c>
      <c r="D321" t="s">
        <v>40</v>
      </c>
      <c r="E321" t="s">
        <v>346</v>
      </c>
      <c r="F321">
        <v>-258304</v>
      </c>
      <c r="G321" t="s">
        <v>61</v>
      </c>
    </row>
    <row r="322" spans="1:7" x14ac:dyDescent="0.3">
      <c r="A322" s="42">
        <v>46168</v>
      </c>
      <c r="B322" s="43">
        <v>0.79474537037037041</v>
      </c>
      <c r="C322" t="s">
        <v>155</v>
      </c>
      <c r="D322" t="s">
        <v>155</v>
      </c>
      <c r="E322" t="s">
        <v>347</v>
      </c>
      <c r="F322">
        <v>-250000</v>
      </c>
      <c r="G322" t="s">
        <v>60</v>
      </c>
    </row>
    <row r="323" spans="1:7" x14ac:dyDescent="0.3">
      <c r="A323" s="42">
        <v>46168</v>
      </c>
      <c r="B323" s="43">
        <v>0.79266203703703708</v>
      </c>
      <c r="C323" t="s">
        <v>152</v>
      </c>
      <c r="D323" t="s">
        <v>37</v>
      </c>
      <c r="E323" t="s">
        <v>256</v>
      </c>
      <c r="F323">
        <v>-449822</v>
      </c>
      <c r="G323" t="s">
        <v>67</v>
      </c>
    </row>
    <row r="324" spans="1:7" x14ac:dyDescent="0.3">
      <c r="A324" s="42">
        <v>46168</v>
      </c>
      <c r="B324" s="43">
        <v>0.4337037037037037</v>
      </c>
      <c r="C324" t="s">
        <v>152</v>
      </c>
      <c r="D324" t="s">
        <v>50</v>
      </c>
      <c r="E324" t="s">
        <v>184</v>
      </c>
      <c r="F324">
        <v>-3200</v>
      </c>
      <c r="G324" t="s">
        <v>266</v>
      </c>
    </row>
    <row r="325" spans="1:7" x14ac:dyDescent="0.3">
      <c r="A325" s="42">
        <v>46167</v>
      </c>
      <c r="B325" s="43">
        <v>0.79828703703703707</v>
      </c>
      <c r="C325" t="s">
        <v>152</v>
      </c>
      <c r="D325" t="s">
        <v>50</v>
      </c>
      <c r="E325" t="s">
        <v>230</v>
      </c>
      <c r="F325">
        <v>-2600</v>
      </c>
      <c r="G325" t="s">
        <v>266</v>
      </c>
    </row>
    <row r="326" spans="1:7" x14ac:dyDescent="0.3">
      <c r="A326" s="42">
        <v>46167</v>
      </c>
      <c r="B326" s="43">
        <v>0.79366898148148146</v>
      </c>
      <c r="C326" t="s">
        <v>152</v>
      </c>
      <c r="D326" t="s">
        <v>38</v>
      </c>
      <c r="E326" t="s">
        <v>348</v>
      </c>
      <c r="F326">
        <v>-12000</v>
      </c>
      <c r="G326" t="s">
        <v>266</v>
      </c>
    </row>
    <row r="327" spans="1:7" x14ac:dyDescent="0.3">
      <c r="A327" s="42">
        <v>46167</v>
      </c>
      <c r="B327" s="43">
        <v>0.68284722222222227</v>
      </c>
      <c r="C327" t="s">
        <v>152</v>
      </c>
      <c r="D327" t="s">
        <v>44</v>
      </c>
      <c r="E327" t="s">
        <v>349</v>
      </c>
      <c r="F327">
        <v>-1000</v>
      </c>
      <c r="G327" t="s">
        <v>154</v>
      </c>
    </row>
    <row r="328" spans="1:7" x14ac:dyDescent="0.3">
      <c r="A328" s="42">
        <v>46167</v>
      </c>
      <c r="B328" s="43">
        <v>0.68277777777777782</v>
      </c>
      <c r="C328" t="s">
        <v>152</v>
      </c>
      <c r="D328" t="s">
        <v>43</v>
      </c>
      <c r="E328" t="s">
        <v>350</v>
      </c>
      <c r="F328">
        <v>-123000</v>
      </c>
      <c r="G328" t="s">
        <v>154</v>
      </c>
    </row>
    <row r="329" spans="1:7" x14ac:dyDescent="0.3">
      <c r="A329" s="42">
        <v>46167</v>
      </c>
      <c r="B329" s="43">
        <v>0.68048611111111112</v>
      </c>
      <c r="C329" t="s">
        <v>152</v>
      </c>
      <c r="D329" t="s">
        <v>44</v>
      </c>
      <c r="E329" t="s">
        <v>349</v>
      </c>
      <c r="F329">
        <v>-1000</v>
      </c>
      <c r="G329" t="s">
        <v>154</v>
      </c>
    </row>
    <row r="330" spans="1:7" x14ac:dyDescent="0.3">
      <c r="A330" s="42">
        <v>46167</v>
      </c>
      <c r="B330" s="43">
        <v>0.68046296296296294</v>
      </c>
      <c r="C330" t="s">
        <v>152</v>
      </c>
      <c r="D330" t="s">
        <v>43</v>
      </c>
      <c r="E330" t="s">
        <v>351</v>
      </c>
      <c r="F330">
        <v>-98100</v>
      </c>
      <c r="G330" t="s">
        <v>154</v>
      </c>
    </row>
    <row r="331" spans="1:7" x14ac:dyDescent="0.3">
      <c r="A331" s="42">
        <v>46167</v>
      </c>
      <c r="B331" s="43">
        <v>0.48959490740740741</v>
      </c>
      <c r="C331" t="s">
        <v>155</v>
      </c>
      <c r="D331" t="s">
        <v>163</v>
      </c>
      <c r="E331" t="s">
        <v>223</v>
      </c>
      <c r="F331">
        <v>173</v>
      </c>
      <c r="G331" t="s">
        <v>68</v>
      </c>
    </row>
    <row r="332" spans="1:7" x14ac:dyDescent="0.3">
      <c r="A332" s="42">
        <v>46167</v>
      </c>
      <c r="B332" s="43">
        <v>0.48959490740740741</v>
      </c>
      <c r="C332" t="s">
        <v>155</v>
      </c>
      <c r="D332" t="s">
        <v>163</v>
      </c>
      <c r="E332" t="s">
        <v>68</v>
      </c>
      <c r="F332">
        <v>-173</v>
      </c>
      <c r="G332" t="s">
        <v>67</v>
      </c>
    </row>
    <row r="333" spans="1:7" x14ac:dyDescent="0.3">
      <c r="A333" s="42">
        <v>46167</v>
      </c>
      <c r="B333" s="43">
        <v>0.41379629629629627</v>
      </c>
      <c r="C333" t="s">
        <v>152</v>
      </c>
      <c r="D333" t="s">
        <v>36</v>
      </c>
      <c r="E333" t="s">
        <v>243</v>
      </c>
      <c r="F333">
        <v>-1500</v>
      </c>
      <c r="G333" t="s">
        <v>161</v>
      </c>
    </row>
    <row r="334" spans="1:7" x14ac:dyDescent="0.3">
      <c r="A334" s="42">
        <v>46167</v>
      </c>
      <c r="B334" s="43">
        <v>0.41379629629629627</v>
      </c>
      <c r="C334" t="s">
        <v>152</v>
      </c>
      <c r="D334" t="s">
        <v>36</v>
      </c>
      <c r="E334" t="s">
        <v>244</v>
      </c>
      <c r="F334">
        <v>-1900</v>
      </c>
      <c r="G334" t="s">
        <v>161</v>
      </c>
    </row>
    <row r="335" spans="1:7" x14ac:dyDescent="0.3">
      <c r="A335" s="42">
        <v>46166</v>
      </c>
      <c r="B335" s="43">
        <v>0.89526620370370369</v>
      </c>
      <c r="C335" t="s">
        <v>152</v>
      </c>
      <c r="D335" t="s">
        <v>50</v>
      </c>
      <c r="E335" t="s">
        <v>352</v>
      </c>
      <c r="F335">
        <v>-94410</v>
      </c>
      <c r="G335" t="s">
        <v>266</v>
      </c>
    </row>
    <row r="336" spans="1:7" x14ac:dyDescent="0.3">
      <c r="A336" s="42">
        <v>46166</v>
      </c>
      <c r="B336" s="43">
        <v>0.8359375</v>
      </c>
      <c r="C336" t="s">
        <v>152</v>
      </c>
      <c r="D336" t="s">
        <v>50</v>
      </c>
      <c r="E336" t="s">
        <v>353</v>
      </c>
      <c r="F336">
        <v>-11700</v>
      </c>
      <c r="G336" t="s">
        <v>266</v>
      </c>
    </row>
    <row r="337" spans="1:7" x14ac:dyDescent="0.3">
      <c r="A337" s="42">
        <v>46166</v>
      </c>
      <c r="B337" s="43">
        <v>0.82828703703703699</v>
      </c>
      <c r="C337" t="s">
        <v>152</v>
      </c>
      <c r="D337" t="s">
        <v>50</v>
      </c>
      <c r="E337" t="s">
        <v>352</v>
      </c>
      <c r="F337">
        <v>-98800</v>
      </c>
      <c r="G337" t="s">
        <v>266</v>
      </c>
    </row>
    <row r="338" spans="1:7" x14ac:dyDescent="0.3">
      <c r="A338" s="42">
        <v>46166</v>
      </c>
      <c r="B338" s="43">
        <v>0.79833333333333334</v>
      </c>
      <c r="C338" t="s">
        <v>152</v>
      </c>
      <c r="D338" t="s">
        <v>50</v>
      </c>
      <c r="E338" t="s">
        <v>354</v>
      </c>
      <c r="F338">
        <v>-3000</v>
      </c>
      <c r="G338" t="s">
        <v>266</v>
      </c>
    </row>
    <row r="339" spans="1:7" x14ac:dyDescent="0.3">
      <c r="A339" s="42">
        <v>46166</v>
      </c>
      <c r="B339" s="43">
        <v>0.70729166666666665</v>
      </c>
      <c r="C339" t="s">
        <v>152</v>
      </c>
      <c r="D339" t="s">
        <v>47</v>
      </c>
      <c r="E339" t="s">
        <v>355</v>
      </c>
      <c r="F339">
        <v>-1000</v>
      </c>
      <c r="G339" t="s">
        <v>266</v>
      </c>
    </row>
    <row r="340" spans="1:7" x14ac:dyDescent="0.3">
      <c r="A340" s="42">
        <v>46166</v>
      </c>
      <c r="B340" s="43">
        <v>0.42719907407407409</v>
      </c>
      <c r="C340" t="s">
        <v>152</v>
      </c>
      <c r="D340" t="s">
        <v>47</v>
      </c>
      <c r="E340" t="s">
        <v>356</v>
      </c>
      <c r="F340">
        <v>-60000</v>
      </c>
      <c r="G340" t="s">
        <v>266</v>
      </c>
    </row>
    <row r="341" spans="1:7" x14ac:dyDescent="0.3">
      <c r="A341" s="42">
        <v>46166</v>
      </c>
      <c r="B341" s="43">
        <v>0.41069444444444442</v>
      </c>
      <c r="C341" t="s">
        <v>152</v>
      </c>
      <c r="D341" t="s">
        <v>36</v>
      </c>
      <c r="E341" t="s">
        <v>243</v>
      </c>
      <c r="F341">
        <v>-1500</v>
      </c>
      <c r="G341" t="s">
        <v>161</v>
      </c>
    </row>
    <row r="342" spans="1:7" x14ac:dyDescent="0.3">
      <c r="A342" s="42">
        <v>46166</v>
      </c>
      <c r="B342" s="43">
        <v>0.41069444444444442</v>
      </c>
      <c r="C342" t="s">
        <v>152</v>
      </c>
      <c r="D342" t="s">
        <v>36</v>
      </c>
      <c r="E342" t="s">
        <v>244</v>
      </c>
      <c r="F342">
        <v>-1900</v>
      </c>
      <c r="G342" t="s">
        <v>161</v>
      </c>
    </row>
    <row r="343" spans="1:7" x14ac:dyDescent="0.3">
      <c r="A343" s="42">
        <v>46165</v>
      </c>
      <c r="B343" s="43">
        <v>0.56030092592592595</v>
      </c>
      <c r="C343" t="s">
        <v>152</v>
      </c>
      <c r="D343" t="s">
        <v>39</v>
      </c>
      <c r="E343" t="s">
        <v>357</v>
      </c>
      <c r="F343">
        <v>-5000</v>
      </c>
      <c r="G343" t="s">
        <v>266</v>
      </c>
    </row>
    <row r="344" spans="1:7" x14ac:dyDescent="0.3">
      <c r="A344" s="42">
        <v>46165</v>
      </c>
      <c r="B344" s="43">
        <v>0.520625</v>
      </c>
      <c r="C344" t="s">
        <v>152</v>
      </c>
      <c r="D344" t="s">
        <v>38</v>
      </c>
      <c r="E344" t="s">
        <v>358</v>
      </c>
      <c r="F344">
        <v>-60000</v>
      </c>
      <c r="G344" t="s">
        <v>154</v>
      </c>
    </row>
    <row r="345" spans="1:7" x14ac:dyDescent="0.3">
      <c r="A345" s="42">
        <v>46165</v>
      </c>
      <c r="B345" s="43">
        <v>0.44885416666666672</v>
      </c>
      <c r="C345" t="s">
        <v>152</v>
      </c>
      <c r="D345" t="s">
        <v>39</v>
      </c>
      <c r="E345" t="s">
        <v>359</v>
      </c>
      <c r="F345">
        <v>-16500</v>
      </c>
      <c r="G345" t="s">
        <v>154</v>
      </c>
    </row>
    <row r="346" spans="1:7" x14ac:dyDescent="0.3">
      <c r="A346" s="42">
        <v>46165</v>
      </c>
      <c r="B346" s="43">
        <v>0.42527777777777781</v>
      </c>
      <c r="C346" t="s">
        <v>152</v>
      </c>
      <c r="D346" t="s">
        <v>38</v>
      </c>
      <c r="E346" t="s">
        <v>360</v>
      </c>
      <c r="F346">
        <v>-2000</v>
      </c>
      <c r="G346" t="s">
        <v>186</v>
      </c>
    </row>
    <row r="347" spans="1:7" x14ac:dyDescent="0.3">
      <c r="A347" s="42">
        <v>46165</v>
      </c>
      <c r="B347" s="43">
        <v>0.41452546296296289</v>
      </c>
      <c r="C347" t="s">
        <v>152</v>
      </c>
      <c r="D347" t="s">
        <v>36</v>
      </c>
      <c r="E347" t="s">
        <v>243</v>
      </c>
      <c r="F347">
        <v>-1500</v>
      </c>
      <c r="G347" t="s">
        <v>161</v>
      </c>
    </row>
    <row r="348" spans="1:7" x14ac:dyDescent="0.3">
      <c r="A348" s="42">
        <v>46165</v>
      </c>
      <c r="B348" s="43">
        <v>0.41452546296296289</v>
      </c>
      <c r="C348" t="s">
        <v>152</v>
      </c>
      <c r="D348" t="s">
        <v>36</v>
      </c>
      <c r="E348" t="s">
        <v>244</v>
      </c>
      <c r="F348">
        <v>-2000</v>
      </c>
      <c r="G348" t="s">
        <v>161</v>
      </c>
    </row>
    <row r="349" spans="1:7" x14ac:dyDescent="0.3">
      <c r="A349" s="42">
        <v>46165</v>
      </c>
      <c r="B349" s="43">
        <v>0.34614583333333332</v>
      </c>
      <c r="C349" t="s">
        <v>152</v>
      </c>
      <c r="D349" t="s">
        <v>40</v>
      </c>
      <c r="E349" t="s">
        <v>361</v>
      </c>
      <c r="F349">
        <v>-11710</v>
      </c>
      <c r="G349" t="s">
        <v>186</v>
      </c>
    </row>
    <row r="350" spans="1:7" x14ac:dyDescent="0.3">
      <c r="A350" s="42">
        <v>46165</v>
      </c>
      <c r="B350" s="43">
        <v>0.1819907407407407</v>
      </c>
      <c r="C350" t="s">
        <v>176</v>
      </c>
      <c r="D350" t="s">
        <v>28</v>
      </c>
      <c r="E350" t="s">
        <v>240</v>
      </c>
      <c r="F350">
        <v>7</v>
      </c>
      <c r="G350" t="s">
        <v>67</v>
      </c>
    </row>
    <row r="351" spans="1:7" x14ac:dyDescent="0.3">
      <c r="A351" s="42">
        <v>46165</v>
      </c>
      <c r="B351" s="43">
        <v>0.17650462962962959</v>
      </c>
      <c r="C351" t="s">
        <v>176</v>
      </c>
      <c r="D351" t="s">
        <v>28</v>
      </c>
      <c r="E351" t="s">
        <v>240</v>
      </c>
      <c r="F351">
        <v>2320</v>
      </c>
      <c r="G351" t="s">
        <v>67</v>
      </c>
    </row>
    <row r="352" spans="1:7" x14ac:dyDescent="0.3">
      <c r="A352" s="42">
        <v>46165</v>
      </c>
      <c r="B352" s="43">
        <v>0.1672916666666667</v>
      </c>
      <c r="C352" t="s">
        <v>176</v>
      </c>
      <c r="D352" t="s">
        <v>28</v>
      </c>
      <c r="E352" t="s">
        <v>241</v>
      </c>
      <c r="F352">
        <v>0</v>
      </c>
      <c r="G352" t="s">
        <v>63</v>
      </c>
    </row>
    <row r="353" spans="1:7" x14ac:dyDescent="0.3">
      <c r="A353" s="42">
        <v>46165</v>
      </c>
      <c r="B353" s="43">
        <v>8.8657407407407407E-2</v>
      </c>
      <c r="C353" t="s">
        <v>155</v>
      </c>
      <c r="D353" t="s">
        <v>217</v>
      </c>
      <c r="E353" t="s">
        <v>242</v>
      </c>
      <c r="F353">
        <v>112</v>
      </c>
      <c r="G353" t="s">
        <v>68</v>
      </c>
    </row>
    <row r="354" spans="1:7" x14ac:dyDescent="0.3">
      <c r="A354" s="42">
        <v>46164</v>
      </c>
      <c r="B354" s="43">
        <v>0.85730324074074071</v>
      </c>
      <c r="C354" t="s">
        <v>152</v>
      </c>
      <c r="D354" t="s">
        <v>42</v>
      </c>
      <c r="E354" t="s">
        <v>362</v>
      </c>
      <c r="F354">
        <v>-130850</v>
      </c>
      <c r="G354" t="s">
        <v>186</v>
      </c>
    </row>
    <row r="355" spans="1:7" x14ac:dyDescent="0.3">
      <c r="A355" s="42">
        <v>46164</v>
      </c>
      <c r="B355" s="43">
        <v>0.76454861111111116</v>
      </c>
      <c r="C355" t="s">
        <v>152</v>
      </c>
      <c r="D355" t="s">
        <v>45</v>
      </c>
      <c r="E355" t="s">
        <v>363</v>
      </c>
      <c r="F355">
        <v>-4500</v>
      </c>
      <c r="G355" t="s">
        <v>186</v>
      </c>
    </row>
    <row r="356" spans="1:7" x14ac:dyDescent="0.3">
      <c r="A356" s="42">
        <v>46164</v>
      </c>
      <c r="B356" s="43">
        <v>0.76211805555555556</v>
      </c>
      <c r="C356" t="s">
        <v>152</v>
      </c>
      <c r="D356" t="s">
        <v>45</v>
      </c>
      <c r="E356" t="s">
        <v>364</v>
      </c>
      <c r="F356">
        <v>-5800</v>
      </c>
      <c r="G356" t="s">
        <v>186</v>
      </c>
    </row>
    <row r="357" spans="1:7" x14ac:dyDescent="0.3">
      <c r="A357" s="42">
        <v>46164</v>
      </c>
      <c r="B357" s="43">
        <v>0.47608796296296302</v>
      </c>
      <c r="C357" t="s">
        <v>176</v>
      </c>
      <c r="D357" t="s">
        <v>28</v>
      </c>
      <c r="E357" t="s">
        <v>178</v>
      </c>
      <c r="F357">
        <v>36690</v>
      </c>
      <c r="G357" t="s">
        <v>61</v>
      </c>
    </row>
    <row r="358" spans="1:7" x14ac:dyDescent="0.3">
      <c r="A358" s="42">
        <v>46164</v>
      </c>
      <c r="B358" s="43">
        <v>0.41121527777777778</v>
      </c>
      <c r="C358" t="s">
        <v>152</v>
      </c>
      <c r="D358" t="s">
        <v>36</v>
      </c>
      <c r="E358" t="s">
        <v>226</v>
      </c>
      <c r="F358">
        <v>-3000</v>
      </c>
      <c r="G358" t="s">
        <v>161</v>
      </c>
    </row>
    <row r="359" spans="1:7" x14ac:dyDescent="0.3">
      <c r="A359" s="42">
        <v>46164</v>
      </c>
      <c r="B359" s="43">
        <v>0.41121527777777778</v>
      </c>
      <c r="C359" t="s">
        <v>152</v>
      </c>
      <c r="D359" t="s">
        <v>36</v>
      </c>
      <c r="E359" t="s">
        <v>365</v>
      </c>
      <c r="F359">
        <v>-4000</v>
      </c>
      <c r="G359" t="s">
        <v>161</v>
      </c>
    </row>
    <row r="360" spans="1:7" x14ac:dyDescent="0.3">
      <c r="A360" s="42">
        <v>46164</v>
      </c>
      <c r="B360" s="43">
        <v>0.39880787037037041</v>
      </c>
      <c r="C360" t="s">
        <v>152</v>
      </c>
      <c r="D360" t="s">
        <v>50</v>
      </c>
      <c r="E360" t="s">
        <v>184</v>
      </c>
      <c r="F360">
        <v>-1600</v>
      </c>
      <c r="G360" t="s">
        <v>186</v>
      </c>
    </row>
    <row r="361" spans="1:7" x14ac:dyDescent="0.3">
      <c r="A361" s="42">
        <v>46164</v>
      </c>
      <c r="B361" s="43">
        <v>0.35716435185185191</v>
      </c>
      <c r="C361" t="s">
        <v>152</v>
      </c>
      <c r="D361" t="s">
        <v>37</v>
      </c>
      <c r="E361" t="s">
        <v>366</v>
      </c>
      <c r="F361">
        <v>-148095</v>
      </c>
      <c r="G361" t="s">
        <v>67</v>
      </c>
    </row>
    <row r="362" spans="1:7" x14ac:dyDescent="0.3">
      <c r="A362" s="42">
        <v>46164</v>
      </c>
      <c r="B362" s="43">
        <v>0.35658564814814808</v>
      </c>
      <c r="C362" t="s">
        <v>155</v>
      </c>
      <c r="D362" t="s">
        <v>163</v>
      </c>
      <c r="E362" t="s">
        <v>7</v>
      </c>
      <c r="F362">
        <v>-250000</v>
      </c>
      <c r="G362" t="s">
        <v>67</v>
      </c>
    </row>
    <row r="363" spans="1:7" x14ac:dyDescent="0.3">
      <c r="A363" s="42">
        <v>46164</v>
      </c>
      <c r="B363" s="43">
        <v>0.35658564814814808</v>
      </c>
      <c r="C363" t="s">
        <v>155</v>
      </c>
      <c r="D363" t="s">
        <v>163</v>
      </c>
      <c r="E363" t="s">
        <v>7</v>
      </c>
      <c r="F363">
        <v>250000</v>
      </c>
      <c r="G363" t="s">
        <v>67</v>
      </c>
    </row>
    <row r="364" spans="1:7" x14ac:dyDescent="0.3">
      <c r="A364" s="42">
        <v>46164</v>
      </c>
      <c r="B364" s="43">
        <v>0.35584490740740737</v>
      </c>
      <c r="C364" t="s">
        <v>152</v>
      </c>
      <c r="D364" t="s">
        <v>37</v>
      </c>
      <c r="E364" t="s">
        <v>366</v>
      </c>
      <c r="F364">
        <v>-85739</v>
      </c>
      <c r="G364" t="s">
        <v>67</v>
      </c>
    </row>
    <row r="365" spans="1:7" x14ac:dyDescent="0.3">
      <c r="A365" s="42">
        <v>46164</v>
      </c>
      <c r="B365" s="43">
        <v>5.5648148148148148E-2</v>
      </c>
      <c r="C365" t="s">
        <v>176</v>
      </c>
      <c r="D365" t="s">
        <v>29</v>
      </c>
      <c r="E365" t="s">
        <v>249</v>
      </c>
      <c r="F365">
        <v>100000</v>
      </c>
      <c r="G365" t="s">
        <v>64</v>
      </c>
    </row>
    <row r="366" spans="1:7" x14ac:dyDescent="0.3">
      <c r="A366" s="42">
        <v>46164</v>
      </c>
      <c r="B366" s="43">
        <v>4.2372685185185187E-2</v>
      </c>
      <c r="C366" t="s">
        <v>152</v>
      </c>
      <c r="D366" t="s">
        <v>48</v>
      </c>
      <c r="E366" t="s">
        <v>251</v>
      </c>
      <c r="F366">
        <v>-300</v>
      </c>
      <c r="G366" t="s">
        <v>154</v>
      </c>
    </row>
    <row r="367" spans="1:7" x14ac:dyDescent="0.3">
      <c r="A367" s="42">
        <v>46163</v>
      </c>
      <c r="B367" s="43">
        <v>0.45777777777777778</v>
      </c>
      <c r="C367" t="s">
        <v>152</v>
      </c>
      <c r="D367" t="s">
        <v>44</v>
      </c>
      <c r="E367" t="s">
        <v>265</v>
      </c>
      <c r="F367">
        <v>-7890</v>
      </c>
      <c r="G367" t="s">
        <v>266</v>
      </c>
    </row>
    <row r="368" spans="1:7" x14ac:dyDescent="0.3">
      <c r="A368" s="42">
        <v>46163</v>
      </c>
      <c r="B368" s="43">
        <v>0.39817129629629627</v>
      </c>
      <c r="C368" t="s">
        <v>152</v>
      </c>
      <c r="D368" t="s">
        <v>49</v>
      </c>
      <c r="E368" t="s">
        <v>367</v>
      </c>
      <c r="F368">
        <v>-300</v>
      </c>
      <c r="G368" t="s">
        <v>186</v>
      </c>
    </row>
    <row r="369" spans="1:7" x14ac:dyDescent="0.3">
      <c r="A369" s="42">
        <v>46163</v>
      </c>
      <c r="B369" s="43">
        <v>0.3334375</v>
      </c>
      <c r="C369" t="s">
        <v>176</v>
      </c>
      <c r="D369" t="s">
        <v>29</v>
      </c>
      <c r="E369" t="s">
        <v>29</v>
      </c>
      <c r="F369">
        <v>4924260</v>
      </c>
      <c r="G369" t="s">
        <v>60</v>
      </c>
    </row>
    <row r="370" spans="1:7" x14ac:dyDescent="0.3">
      <c r="A370" s="42">
        <v>46162</v>
      </c>
      <c r="B370" s="43">
        <v>0.61266203703703703</v>
      </c>
      <c r="C370" t="s">
        <v>155</v>
      </c>
      <c r="D370" t="s">
        <v>155</v>
      </c>
      <c r="E370" t="s">
        <v>277</v>
      </c>
      <c r="F370">
        <v>3787800</v>
      </c>
      <c r="G370" t="s">
        <v>67</v>
      </c>
    </row>
    <row r="371" spans="1:7" x14ac:dyDescent="0.3">
      <c r="A371" s="42">
        <v>46161</v>
      </c>
      <c r="B371" s="43">
        <v>0.72146990740740746</v>
      </c>
      <c r="C371" t="s">
        <v>152</v>
      </c>
      <c r="D371" t="s">
        <v>42</v>
      </c>
      <c r="E371" t="s">
        <v>181</v>
      </c>
      <c r="F371">
        <v>-26300</v>
      </c>
      <c r="G371" t="s">
        <v>182</v>
      </c>
    </row>
    <row r="372" spans="1:7" x14ac:dyDescent="0.3">
      <c r="A372" s="42">
        <v>46161</v>
      </c>
      <c r="B372" s="43">
        <v>0.39929398148148149</v>
      </c>
      <c r="C372" t="s">
        <v>152</v>
      </c>
      <c r="D372" t="s">
        <v>49</v>
      </c>
      <c r="E372" t="s">
        <v>368</v>
      </c>
      <c r="F372">
        <v>-300</v>
      </c>
      <c r="G372" t="s">
        <v>154</v>
      </c>
    </row>
    <row r="373" spans="1:7" x14ac:dyDescent="0.3">
      <c r="A373" s="42">
        <v>46160</v>
      </c>
      <c r="B373" s="43">
        <v>0.51740740740740743</v>
      </c>
      <c r="C373" t="s">
        <v>152</v>
      </c>
      <c r="D373" t="s">
        <v>44</v>
      </c>
      <c r="E373" t="s">
        <v>369</v>
      </c>
      <c r="F373">
        <v>-7511</v>
      </c>
      <c r="G373" t="s">
        <v>199</v>
      </c>
    </row>
    <row r="374" spans="1:7" x14ac:dyDescent="0.3">
      <c r="A374" s="42">
        <v>46160</v>
      </c>
      <c r="B374" s="43">
        <v>0.51740740740740743</v>
      </c>
      <c r="C374" t="s">
        <v>152</v>
      </c>
      <c r="D374" t="s">
        <v>44</v>
      </c>
      <c r="E374" t="s">
        <v>369</v>
      </c>
      <c r="F374">
        <v>-21499</v>
      </c>
      <c r="G374" t="s">
        <v>182</v>
      </c>
    </row>
    <row r="375" spans="1:7" x14ac:dyDescent="0.3">
      <c r="A375" s="42">
        <v>46160</v>
      </c>
      <c r="B375" s="43">
        <v>0.41184027777777782</v>
      </c>
      <c r="C375" t="s">
        <v>152</v>
      </c>
      <c r="D375" t="s">
        <v>36</v>
      </c>
      <c r="E375" t="s">
        <v>243</v>
      </c>
      <c r="F375">
        <v>-1500</v>
      </c>
      <c r="G375" t="s">
        <v>161</v>
      </c>
    </row>
    <row r="376" spans="1:7" x14ac:dyDescent="0.3">
      <c r="A376" s="42">
        <v>46160</v>
      </c>
      <c r="B376" s="43">
        <v>0.41182870370370372</v>
      </c>
      <c r="C376" t="s">
        <v>152</v>
      </c>
      <c r="D376" t="s">
        <v>36</v>
      </c>
      <c r="E376" t="s">
        <v>244</v>
      </c>
      <c r="F376">
        <v>-2000</v>
      </c>
      <c r="G376" t="s">
        <v>161</v>
      </c>
    </row>
    <row r="377" spans="1:7" x14ac:dyDescent="0.3">
      <c r="A377" s="42">
        <v>46160</v>
      </c>
      <c r="B377" s="43">
        <v>0.40511574074074069</v>
      </c>
      <c r="C377" t="s">
        <v>152</v>
      </c>
      <c r="D377" t="s">
        <v>44</v>
      </c>
      <c r="E377" t="s">
        <v>370</v>
      </c>
      <c r="F377">
        <v>-133820</v>
      </c>
      <c r="G377" t="s">
        <v>182</v>
      </c>
    </row>
    <row r="378" spans="1:7" x14ac:dyDescent="0.3">
      <c r="A378" s="42">
        <v>46160</v>
      </c>
      <c r="B378" s="43">
        <v>0.39927083333333341</v>
      </c>
      <c r="C378" t="s">
        <v>152</v>
      </c>
      <c r="D378" t="s">
        <v>50</v>
      </c>
      <c r="E378" t="s">
        <v>184</v>
      </c>
      <c r="F378">
        <v>-1600</v>
      </c>
      <c r="G378" t="s">
        <v>154</v>
      </c>
    </row>
    <row r="379" spans="1:7" x14ac:dyDescent="0.3">
      <c r="A379" s="42">
        <v>46160</v>
      </c>
      <c r="B379" s="43">
        <v>0</v>
      </c>
      <c r="C379" t="s">
        <v>152</v>
      </c>
      <c r="D379" t="s">
        <v>44</v>
      </c>
      <c r="E379" t="s">
        <v>306</v>
      </c>
      <c r="F379">
        <v>16400</v>
      </c>
      <c r="G379" t="s">
        <v>180</v>
      </c>
    </row>
    <row r="380" spans="1:7" x14ac:dyDescent="0.3">
      <c r="A380" s="42">
        <v>46159</v>
      </c>
      <c r="B380" s="43">
        <v>0.45504629629629628</v>
      </c>
      <c r="C380" t="s">
        <v>152</v>
      </c>
      <c r="D380" t="s">
        <v>38</v>
      </c>
      <c r="E380" t="s">
        <v>371</v>
      </c>
      <c r="F380">
        <v>-1000</v>
      </c>
      <c r="G380" t="s">
        <v>154</v>
      </c>
    </row>
    <row r="381" spans="1:7" x14ac:dyDescent="0.3">
      <c r="A381" s="42">
        <v>46159</v>
      </c>
      <c r="B381" s="43">
        <v>0.4500925925925926</v>
      </c>
      <c r="C381" t="s">
        <v>152</v>
      </c>
      <c r="D381" t="s">
        <v>38</v>
      </c>
      <c r="E381" t="s">
        <v>371</v>
      </c>
      <c r="F381">
        <v>-2000</v>
      </c>
      <c r="G381" t="s">
        <v>154</v>
      </c>
    </row>
    <row r="382" spans="1:7" x14ac:dyDescent="0.3">
      <c r="A382" s="42">
        <v>46159</v>
      </c>
      <c r="B382" s="43">
        <v>0.44512731481481482</v>
      </c>
      <c r="C382" t="s">
        <v>152</v>
      </c>
      <c r="D382" t="s">
        <v>47</v>
      </c>
      <c r="E382" t="s">
        <v>372</v>
      </c>
      <c r="F382">
        <v>-1000</v>
      </c>
      <c r="G382" t="s">
        <v>236</v>
      </c>
    </row>
    <row r="383" spans="1:7" x14ac:dyDescent="0.3">
      <c r="A383" s="42">
        <v>46159</v>
      </c>
      <c r="B383" s="43">
        <v>0.41787037037037039</v>
      </c>
      <c r="C383" t="s">
        <v>152</v>
      </c>
      <c r="D383" t="s">
        <v>36</v>
      </c>
      <c r="E383" t="s">
        <v>243</v>
      </c>
      <c r="F383">
        <v>-1500</v>
      </c>
      <c r="G383" t="s">
        <v>161</v>
      </c>
    </row>
    <row r="384" spans="1:7" x14ac:dyDescent="0.3">
      <c r="A384" s="42">
        <v>46159</v>
      </c>
      <c r="B384" s="43">
        <v>0.41787037037037039</v>
      </c>
      <c r="C384" t="s">
        <v>152</v>
      </c>
      <c r="D384" t="s">
        <v>36</v>
      </c>
      <c r="E384" t="s">
        <v>244</v>
      </c>
      <c r="F384">
        <v>-2000</v>
      </c>
      <c r="G384" t="s">
        <v>161</v>
      </c>
    </row>
    <row r="385" spans="1:7" x14ac:dyDescent="0.3">
      <c r="A385" s="42">
        <v>46159</v>
      </c>
      <c r="B385" s="43">
        <v>0.38166666666666671</v>
      </c>
      <c r="C385" t="s">
        <v>152</v>
      </c>
      <c r="D385" t="s">
        <v>37</v>
      </c>
      <c r="E385" t="s">
        <v>373</v>
      </c>
      <c r="F385">
        <v>-80000000</v>
      </c>
      <c r="G385" t="s">
        <v>67</v>
      </c>
    </row>
    <row r="386" spans="1:7" x14ac:dyDescent="0.3">
      <c r="A386" s="42">
        <v>46158</v>
      </c>
      <c r="B386" s="43">
        <v>0.87135416666666665</v>
      </c>
      <c r="C386" t="s">
        <v>152</v>
      </c>
      <c r="D386" t="s">
        <v>42</v>
      </c>
      <c r="E386" t="s">
        <v>362</v>
      </c>
      <c r="F386">
        <v>-76390</v>
      </c>
      <c r="G386" t="s">
        <v>186</v>
      </c>
    </row>
    <row r="387" spans="1:7" x14ac:dyDescent="0.3">
      <c r="A387" s="42">
        <v>46158</v>
      </c>
      <c r="B387" s="43">
        <v>0.83997685185185189</v>
      </c>
      <c r="C387" t="s">
        <v>152</v>
      </c>
      <c r="D387" t="s">
        <v>47</v>
      </c>
      <c r="E387" t="s">
        <v>374</v>
      </c>
      <c r="F387">
        <v>-50000</v>
      </c>
      <c r="G387" t="s">
        <v>154</v>
      </c>
    </row>
    <row r="388" spans="1:7" x14ac:dyDescent="0.3">
      <c r="A388" s="42">
        <v>46158</v>
      </c>
      <c r="B388" s="43">
        <v>0.60302083333333334</v>
      </c>
      <c r="C388" t="s">
        <v>152</v>
      </c>
      <c r="D388" t="s">
        <v>44</v>
      </c>
      <c r="E388" t="s">
        <v>375</v>
      </c>
      <c r="F388">
        <v>-25720</v>
      </c>
      <c r="G388" t="s">
        <v>266</v>
      </c>
    </row>
    <row r="389" spans="1:7" x14ac:dyDescent="0.3">
      <c r="A389" s="42">
        <v>46158</v>
      </c>
      <c r="B389" s="43">
        <v>0.60166666666666668</v>
      </c>
      <c r="C389" t="s">
        <v>152</v>
      </c>
      <c r="D389" t="s">
        <v>44</v>
      </c>
      <c r="E389" t="s">
        <v>375</v>
      </c>
      <c r="F389">
        <v>-25150</v>
      </c>
      <c r="G389" t="s">
        <v>266</v>
      </c>
    </row>
    <row r="390" spans="1:7" x14ac:dyDescent="0.3">
      <c r="A390" s="42">
        <v>46158</v>
      </c>
      <c r="B390" s="43">
        <v>0.41008101851851853</v>
      </c>
      <c r="C390" t="s">
        <v>152</v>
      </c>
      <c r="D390" t="s">
        <v>36</v>
      </c>
      <c r="E390" t="s">
        <v>243</v>
      </c>
      <c r="F390">
        <v>-1500</v>
      </c>
      <c r="G390" t="s">
        <v>161</v>
      </c>
    </row>
    <row r="391" spans="1:7" x14ac:dyDescent="0.3">
      <c r="A391" s="42">
        <v>46158</v>
      </c>
      <c r="B391" s="43">
        <v>0.41008101851851853</v>
      </c>
      <c r="C391" t="s">
        <v>152</v>
      </c>
      <c r="D391" t="s">
        <v>36</v>
      </c>
      <c r="E391" t="s">
        <v>244</v>
      </c>
      <c r="F391">
        <v>-1900</v>
      </c>
      <c r="G391" t="s">
        <v>161</v>
      </c>
    </row>
    <row r="392" spans="1:7" x14ac:dyDescent="0.3">
      <c r="A392" s="42">
        <v>46157</v>
      </c>
      <c r="B392" s="43">
        <v>0.7167824074074074</v>
      </c>
      <c r="C392" t="s">
        <v>152</v>
      </c>
      <c r="D392" t="s">
        <v>44</v>
      </c>
      <c r="E392" t="s">
        <v>306</v>
      </c>
      <c r="F392">
        <v>-16400</v>
      </c>
      <c r="G392" t="s">
        <v>180</v>
      </c>
    </row>
    <row r="393" spans="1:7" x14ac:dyDescent="0.3">
      <c r="A393" s="42">
        <v>46157</v>
      </c>
      <c r="B393" s="43">
        <v>0.71564814814814814</v>
      </c>
      <c r="C393" t="s">
        <v>152</v>
      </c>
      <c r="D393" t="s">
        <v>44</v>
      </c>
      <c r="E393" t="s">
        <v>306</v>
      </c>
      <c r="F393">
        <v>14300</v>
      </c>
      <c r="G393" t="s">
        <v>180</v>
      </c>
    </row>
    <row r="394" spans="1:7" x14ac:dyDescent="0.3">
      <c r="A394" s="42">
        <v>46157</v>
      </c>
      <c r="B394" s="43">
        <v>0.62163194444444447</v>
      </c>
      <c r="C394" t="s">
        <v>152</v>
      </c>
      <c r="D394" t="s">
        <v>36</v>
      </c>
      <c r="E394" t="s">
        <v>250</v>
      </c>
      <c r="F394">
        <v>-45900</v>
      </c>
      <c r="G394" t="s">
        <v>180</v>
      </c>
    </row>
    <row r="395" spans="1:7" x14ac:dyDescent="0.3">
      <c r="A395" s="42">
        <v>46157</v>
      </c>
      <c r="B395" s="43">
        <v>0.50567129629629626</v>
      </c>
      <c r="C395" t="s">
        <v>152</v>
      </c>
      <c r="D395" t="s">
        <v>49</v>
      </c>
      <c r="E395" t="s">
        <v>288</v>
      </c>
      <c r="F395">
        <v>-11600</v>
      </c>
      <c r="G395" t="s">
        <v>180</v>
      </c>
    </row>
    <row r="396" spans="1:7" x14ac:dyDescent="0.3">
      <c r="A396" s="42">
        <v>46157</v>
      </c>
      <c r="B396" s="43">
        <v>0.41093750000000001</v>
      </c>
      <c r="C396" t="s">
        <v>152</v>
      </c>
      <c r="D396" t="s">
        <v>36</v>
      </c>
      <c r="E396" t="s">
        <v>243</v>
      </c>
      <c r="F396">
        <v>-1500</v>
      </c>
      <c r="G396" t="s">
        <v>161</v>
      </c>
    </row>
    <row r="397" spans="1:7" x14ac:dyDescent="0.3">
      <c r="A397" s="42">
        <v>46157</v>
      </c>
      <c r="B397" s="43">
        <v>0.41093750000000001</v>
      </c>
      <c r="C397" t="s">
        <v>152</v>
      </c>
      <c r="D397" t="s">
        <v>36</v>
      </c>
      <c r="E397" t="s">
        <v>244</v>
      </c>
      <c r="F397">
        <v>-2000</v>
      </c>
      <c r="G397" t="s">
        <v>161</v>
      </c>
    </row>
    <row r="398" spans="1:7" x14ac:dyDescent="0.3">
      <c r="A398" s="42">
        <v>46157</v>
      </c>
      <c r="B398" s="43">
        <v>0.32662037037037039</v>
      </c>
      <c r="C398" t="s">
        <v>152</v>
      </c>
      <c r="D398" t="s">
        <v>44</v>
      </c>
      <c r="E398" t="s">
        <v>306</v>
      </c>
      <c r="F398">
        <v>-14300</v>
      </c>
      <c r="G398" t="s">
        <v>180</v>
      </c>
    </row>
    <row r="399" spans="1:7" x14ac:dyDescent="0.3">
      <c r="A399" s="42">
        <v>46156</v>
      </c>
      <c r="B399" s="43">
        <v>0.8430671296296296</v>
      </c>
      <c r="C399" t="s">
        <v>152</v>
      </c>
      <c r="D399" t="s">
        <v>38</v>
      </c>
      <c r="E399" t="s">
        <v>376</v>
      </c>
      <c r="F399">
        <v>-4221</v>
      </c>
      <c r="G399" t="s">
        <v>199</v>
      </c>
    </row>
    <row r="400" spans="1:7" x14ac:dyDescent="0.3">
      <c r="A400" s="42">
        <v>46156</v>
      </c>
      <c r="B400" s="43">
        <v>0.8430671296296296</v>
      </c>
      <c r="C400" t="s">
        <v>152</v>
      </c>
      <c r="D400" t="s">
        <v>38</v>
      </c>
      <c r="E400" t="s">
        <v>376</v>
      </c>
      <c r="F400">
        <v>-3729</v>
      </c>
      <c r="G400" t="s">
        <v>182</v>
      </c>
    </row>
    <row r="401" spans="1:7" x14ac:dyDescent="0.3">
      <c r="A401" s="42">
        <v>46156</v>
      </c>
      <c r="B401" s="43">
        <v>0.80651620370370369</v>
      </c>
      <c r="C401" t="s">
        <v>155</v>
      </c>
      <c r="D401" t="s">
        <v>213</v>
      </c>
      <c r="E401" t="s">
        <v>377</v>
      </c>
      <c r="F401">
        <v>-1011432</v>
      </c>
      <c r="G401" t="s">
        <v>61</v>
      </c>
    </row>
    <row r="402" spans="1:7" x14ac:dyDescent="0.3">
      <c r="A402" s="42">
        <v>46156</v>
      </c>
      <c r="B402" s="43">
        <v>0.64170138888888884</v>
      </c>
      <c r="C402" t="s">
        <v>152</v>
      </c>
      <c r="D402" t="s">
        <v>50</v>
      </c>
      <c r="E402" t="s">
        <v>184</v>
      </c>
      <c r="F402">
        <v>-1600</v>
      </c>
      <c r="G402" t="s">
        <v>180</v>
      </c>
    </row>
    <row r="403" spans="1:7" x14ac:dyDescent="0.3">
      <c r="A403" s="42">
        <v>46156</v>
      </c>
      <c r="B403" s="43">
        <v>0.55851851851851853</v>
      </c>
      <c r="C403" t="s">
        <v>152</v>
      </c>
      <c r="D403" t="s">
        <v>44</v>
      </c>
      <c r="E403" t="s">
        <v>378</v>
      </c>
      <c r="F403">
        <v>-55800</v>
      </c>
      <c r="G403" t="s">
        <v>154</v>
      </c>
    </row>
    <row r="404" spans="1:7" x14ac:dyDescent="0.3">
      <c r="A404" s="42">
        <v>46156</v>
      </c>
      <c r="B404" s="43">
        <v>0.51314814814814813</v>
      </c>
      <c r="C404" t="s">
        <v>152</v>
      </c>
      <c r="D404" t="s">
        <v>49</v>
      </c>
      <c r="E404" t="s">
        <v>379</v>
      </c>
      <c r="F404">
        <v>-19000</v>
      </c>
      <c r="G404" t="s">
        <v>180</v>
      </c>
    </row>
    <row r="405" spans="1:7" x14ac:dyDescent="0.3">
      <c r="A405" s="42">
        <v>46156</v>
      </c>
      <c r="B405" s="43">
        <v>0.48827546296296298</v>
      </c>
      <c r="C405" t="s">
        <v>152</v>
      </c>
      <c r="D405" t="s">
        <v>50</v>
      </c>
      <c r="E405" t="s">
        <v>380</v>
      </c>
      <c r="F405">
        <v>-33800</v>
      </c>
      <c r="G405" t="s">
        <v>154</v>
      </c>
    </row>
    <row r="406" spans="1:7" x14ac:dyDescent="0.3">
      <c r="A406" s="42">
        <v>46156</v>
      </c>
      <c r="B406" s="43">
        <v>0.42216435185185192</v>
      </c>
      <c r="C406" t="s">
        <v>152</v>
      </c>
      <c r="D406" t="s">
        <v>36</v>
      </c>
      <c r="E406" t="s">
        <v>243</v>
      </c>
      <c r="F406">
        <v>-1500</v>
      </c>
      <c r="G406" t="s">
        <v>161</v>
      </c>
    </row>
    <row r="407" spans="1:7" x14ac:dyDescent="0.3">
      <c r="A407" s="42">
        <v>46156</v>
      </c>
      <c r="B407" s="43">
        <v>0.42216435185185192</v>
      </c>
      <c r="C407" t="s">
        <v>152</v>
      </c>
      <c r="D407" t="s">
        <v>36</v>
      </c>
      <c r="E407" t="s">
        <v>244</v>
      </c>
      <c r="F407">
        <v>-2000</v>
      </c>
      <c r="G407" t="s">
        <v>161</v>
      </c>
    </row>
    <row r="408" spans="1:7" x14ac:dyDescent="0.3">
      <c r="A408" s="42">
        <v>46156</v>
      </c>
      <c r="B408" s="43">
        <v>0.3964699074074074</v>
      </c>
      <c r="C408" t="s">
        <v>152</v>
      </c>
      <c r="D408" t="s">
        <v>50</v>
      </c>
      <c r="E408" t="s">
        <v>184</v>
      </c>
      <c r="F408">
        <v>-1600</v>
      </c>
      <c r="G408" t="s">
        <v>180</v>
      </c>
    </row>
    <row r="409" spans="1:7" x14ac:dyDescent="0.3">
      <c r="A409" s="42">
        <v>46155</v>
      </c>
      <c r="B409" s="43">
        <v>0.87267361111111108</v>
      </c>
      <c r="C409" t="s">
        <v>155</v>
      </c>
      <c r="D409" t="s">
        <v>155</v>
      </c>
      <c r="E409" t="s">
        <v>277</v>
      </c>
      <c r="F409">
        <v>44170</v>
      </c>
      <c r="G409" t="s">
        <v>67</v>
      </c>
    </row>
    <row r="410" spans="1:7" x14ac:dyDescent="0.3">
      <c r="A410" s="42">
        <v>46155</v>
      </c>
      <c r="B410" s="43">
        <v>0.83833333333333337</v>
      </c>
      <c r="C410" t="s">
        <v>152</v>
      </c>
      <c r="D410" t="s">
        <v>44</v>
      </c>
      <c r="E410" t="s">
        <v>190</v>
      </c>
      <c r="F410">
        <v>-44170</v>
      </c>
      <c r="G410" t="s">
        <v>154</v>
      </c>
    </row>
    <row r="411" spans="1:7" x14ac:dyDescent="0.3">
      <c r="A411" s="42">
        <v>46155</v>
      </c>
      <c r="B411" s="43">
        <v>0.81282407407407409</v>
      </c>
      <c r="C411" t="s">
        <v>155</v>
      </c>
      <c r="D411" t="s">
        <v>155</v>
      </c>
      <c r="E411" t="s">
        <v>202</v>
      </c>
      <c r="F411">
        <v>-300000</v>
      </c>
      <c r="G411" t="s">
        <v>60</v>
      </c>
    </row>
    <row r="412" spans="1:7" x14ac:dyDescent="0.3">
      <c r="A412" s="42">
        <v>46155</v>
      </c>
      <c r="B412" s="43">
        <v>0.81100694444444443</v>
      </c>
      <c r="C412" t="s">
        <v>155</v>
      </c>
      <c r="D412" t="s">
        <v>213</v>
      </c>
      <c r="E412" t="s">
        <v>326</v>
      </c>
      <c r="F412">
        <v>-507530</v>
      </c>
      <c r="G412" t="s">
        <v>61</v>
      </c>
    </row>
    <row r="413" spans="1:7" x14ac:dyDescent="0.3">
      <c r="A413" s="42">
        <v>46155</v>
      </c>
      <c r="B413" s="43">
        <v>0.50969907407407411</v>
      </c>
      <c r="C413" t="s">
        <v>152</v>
      </c>
      <c r="D413" t="s">
        <v>50</v>
      </c>
      <c r="E413" t="s">
        <v>184</v>
      </c>
      <c r="F413">
        <v>-10100</v>
      </c>
      <c r="G413" t="s">
        <v>180</v>
      </c>
    </row>
    <row r="414" spans="1:7" x14ac:dyDescent="0.3">
      <c r="A414" s="42">
        <v>46155</v>
      </c>
      <c r="B414" s="43">
        <v>0.49319444444444438</v>
      </c>
      <c r="C414" t="s">
        <v>155</v>
      </c>
      <c r="D414" t="s">
        <v>155</v>
      </c>
      <c r="E414" t="s">
        <v>381</v>
      </c>
      <c r="F414">
        <v>100000</v>
      </c>
      <c r="G414" t="s">
        <v>158</v>
      </c>
    </row>
    <row r="415" spans="1:7" x14ac:dyDescent="0.3">
      <c r="A415" s="42">
        <v>46155</v>
      </c>
      <c r="B415" s="43">
        <v>0.35417824074074072</v>
      </c>
      <c r="C415" t="s">
        <v>152</v>
      </c>
      <c r="D415" t="s">
        <v>49</v>
      </c>
      <c r="E415" t="s">
        <v>338</v>
      </c>
      <c r="F415">
        <v>-3710</v>
      </c>
      <c r="G415" t="s">
        <v>154</v>
      </c>
    </row>
    <row r="416" spans="1:7" x14ac:dyDescent="0.3">
      <c r="A416" s="42">
        <v>46154</v>
      </c>
      <c r="B416" s="43">
        <v>0.47070601851851851</v>
      </c>
      <c r="C416" t="s">
        <v>152</v>
      </c>
      <c r="D416" t="s">
        <v>42</v>
      </c>
      <c r="E416" t="s">
        <v>183</v>
      </c>
      <c r="F416">
        <v>-17100</v>
      </c>
      <c r="G416" t="s">
        <v>154</v>
      </c>
    </row>
    <row r="417" spans="1:7" x14ac:dyDescent="0.3">
      <c r="A417" s="42">
        <v>46154</v>
      </c>
      <c r="B417" s="43">
        <v>0.44420138888888888</v>
      </c>
      <c r="C417" t="s">
        <v>152</v>
      </c>
      <c r="D417" t="s">
        <v>44</v>
      </c>
      <c r="E417" t="s">
        <v>159</v>
      </c>
      <c r="F417">
        <v>-8900</v>
      </c>
      <c r="G417" t="s">
        <v>154</v>
      </c>
    </row>
    <row r="418" spans="1:7" x14ac:dyDescent="0.3">
      <c r="A418" s="42">
        <v>46154</v>
      </c>
      <c r="B418" s="43">
        <v>0.41108796296296302</v>
      </c>
      <c r="C418" t="s">
        <v>152</v>
      </c>
      <c r="D418" t="s">
        <v>36</v>
      </c>
      <c r="E418" t="s">
        <v>244</v>
      </c>
      <c r="F418">
        <v>-3400</v>
      </c>
      <c r="G418" t="s">
        <v>161</v>
      </c>
    </row>
    <row r="419" spans="1:7" x14ac:dyDescent="0.3">
      <c r="A419" s="42">
        <v>46154</v>
      </c>
      <c r="B419" s="43">
        <v>0.39612268518518517</v>
      </c>
      <c r="C419" t="s">
        <v>152</v>
      </c>
      <c r="D419" t="s">
        <v>50</v>
      </c>
      <c r="E419" t="s">
        <v>184</v>
      </c>
      <c r="F419">
        <v>-1600</v>
      </c>
      <c r="G419" t="s">
        <v>180</v>
      </c>
    </row>
    <row r="420" spans="1:7" x14ac:dyDescent="0.3">
      <c r="A420" s="42">
        <v>46153</v>
      </c>
      <c r="B420" s="43">
        <v>0.86446759259259254</v>
      </c>
      <c r="C420" t="s">
        <v>152</v>
      </c>
      <c r="D420" t="s">
        <v>44</v>
      </c>
      <c r="E420" t="s">
        <v>190</v>
      </c>
      <c r="F420">
        <v>-15900</v>
      </c>
      <c r="G420" t="s">
        <v>154</v>
      </c>
    </row>
    <row r="421" spans="1:7" x14ac:dyDescent="0.3">
      <c r="A421" s="42">
        <v>46153</v>
      </c>
      <c r="B421" s="43">
        <v>0.67884259259259261</v>
      </c>
      <c r="C421" t="s">
        <v>176</v>
      </c>
      <c r="D421" t="s">
        <v>29</v>
      </c>
      <c r="E421" t="s">
        <v>382</v>
      </c>
      <c r="F421">
        <v>50000</v>
      </c>
      <c r="G421" t="s">
        <v>61</v>
      </c>
    </row>
    <row r="422" spans="1:7" x14ac:dyDescent="0.3">
      <c r="A422" s="42">
        <v>46153</v>
      </c>
      <c r="B422" s="43">
        <v>0.55892361111111111</v>
      </c>
      <c r="C422" t="s">
        <v>155</v>
      </c>
      <c r="D422" t="s">
        <v>155</v>
      </c>
      <c r="E422" t="s">
        <v>166</v>
      </c>
      <c r="F422">
        <v>-200000</v>
      </c>
      <c r="G422" t="s">
        <v>61</v>
      </c>
    </row>
    <row r="423" spans="1:7" x14ac:dyDescent="0.3">
      <c r="A423" s="42">
        <v>46153</v>
      </c>
      <c r="B423" s="43">
        <v>0.51586805555555559</v>
      </c>
      <c r="C423" t="s">
        <v>152</v>
      </c>
      <c r="D423" t="s">
        <v>44</v>
      </c>
      <c r="E423" t="s">
        <v>179</v>
      </c>
      <c r="F423">
        <v>-34900</v>
      </c>
      <c r="G423" t="s">
        <v>180</v>
      </c>
    </row>
    <row r="424" spans="1:7" x14ac:dyDescent="0.3">
      <c r="A424" s="42">
        <v>46153</v>
      </c>
      <c r="B424" s="43">
        <v>0.41226851851851848</v>
      </c>
      <c r="C424" t="s">
        <v>152</v>
      </c>
      <c r="D424" t="s">
        <v>36</v>
      </c>
      <c r="E424" t="s">
        <v>243</v>
      </c>
      <c r="F424">
        <v>-1500</v>
      </c>
      <c r="G424" t="s">
        <v>161</v>
      </c>
    </row>
    <row r="425" spans="1:7" x14ac:dyDescent="0.3">
      <c r="A425" s="42">
        <v>46153</v>
      </c>
      <c r="B425" s="43">
        <v>0.41225694444444438</v>
      </c>
      <c r="C425" t="s">
        <v>152</v>
      </c>
      <c r="D425" t="s">
        <v>36</v>
      </c>
      <c r="E425" t="s">
        <v>314</v>
      </c>
      <c r="F425">
        <v>-3450</v>
      </c>
      <c r="G425" t="s">
        <v>161</v>
      </c>
    </row>
    <row r="426" spans="1:7" x14ac:dyDescent="0.3">
      <c r="A426" s="42">
        <v>46153</v>
      </c>
      <c r="B426" s="43">
        <v>4.2372685185185187E-2</v>
      </c>
      <c r="C426" t="s">
        <v>152</v>
      </c>
      <c r="D426" t="s">
        <v>48</v>
      </c>
      <c r="E426" t="s">
        <v>311</v>
      </c>
      <c r="F426">
        <v>-35000</v>
      </c>
      <c r="G426" t="s">
        <v>154</v>
      </c>
    </row>
    <row r="427" spans="1:7" x14ac:dyDescent="0.3">
      <c r="A427" s="42">
        <v>46153</v>
      </c>
      <c r="B427" s="43">
        <v>4.2372685185185187E-2</v>
      </c>
      <c r="C427" t="s">
        <v>152</v>
      </c>
      <c r="D427" t="s">
        <v>48</v>
      </c>
      <c r="E427" t="s">
        <v>311</v>
      </c>
      <c r="F427">
        <v>-39930</v>
      </c>
      <c r="G427" t="s">
        <v>154</v>
      </c>
    </row>
    <row r="428" spans="1:7" x14ac:dyDescent="0.3">
      <c r="A428" s="42">
        <v>46152</v>
      </c>
      <c r="B428" s="43">
        <v>0.77483796296296292</v>
      </c>
      <c r="C428" t="s">
        <v>152</v>
      </c>
      <c r="D428" t="s">
        <v>44</v>
      </c>
      <c r="E428" t="s">
        <v>383</v>
      </c>
      <c r="F428">
        <v>-52900</v>
      </c>
      <c r="G428" t="s">
        <v>236</v>
      </c>
    </row>
    <row r="429" spans="1:7" x14ac:dyDescent="0.3">
      <c r="A429" s="42">
        <v>46152</v>
      </c>
      <c r="B429" s="43">
        <v>0.76596064814814813</v>
      </c>
      <c r="C429" t="s">
        <v>155</v>
      </c>
      <c r="D429" t="s">
        <v>155</v>
      </c>
      <c r="E429" t="s">
        <v>166</v>
      </c>
      <c r="F429">
        <v>-50000</v>
      </c>
      <c r="G429" t="s">
        <v>61</v>
      </c>
    </row>
    <row r="430" spans="1:7" x14ac:dyDescent="0.3">
      <c r="A430" s="42">
        <v>46152</v>
      </c>
      <c r="B430" s="43">
        <v>0.46166666666666673</v>
      </c>
      <c r="C430" t="s">
        <v>152</v>
      </c>
      <c r="D430" t="s">
        <v>50</v>
      </c>
      <c r="E430" t="s">
        <v>352</v>
      </c>
      <c r="F430">
        <v>-59000</v>
      </c>
      <c r="G430" t="s">
        <v>180</v>
      </c>
    </row>
    <row r="431" spans="1:7" x14ac:dyDescent="0.3">
      <c r="A431" s="42">
        <v>46152</v>
      </c>
      <c r="B431" s="43">
        <v>0.45631944444444439</v>
      </c>
      <c r="C431" t="s">
        <v>152</v>
      </c>
      <c r="D431" t="s">
        <v>50</v>
      </c>
      <c r="E431" t="s">
        <v>352</v>
      </c>
      <c r="F431">
        <v>-49410</v>
      </c>
      <c r="G431" t="s">
        <v>180</v>
      </c>
    </row>
    <row r="432" spans="1:7" x14ac:dyDescent="0.3">
      <c r="A432" s="42">
        <v>46152</v>
      </c>
      <c r="B432" s="43">
        <v>0.41986111111111107</v>
      </c>
      <c r="C432" t="s">
        <v>152</v>
      </c>
      <c r="D432" t="s">
        <v>36</v>
      </c>
      <c r="E432" t="s">
        <v>243</v>
      </c>
      <c r="F432">
        <v>-1500</v>
      </c>
      <c r="G432" t="s">
        <v>161</v>
      </c>
    </row>
    <row r="433" spans="1:7" x14ac:dyDescent="0.3">
      <c r="A433" s="42">
        <v>46152</v>
      </c>
      <c r="B433" s="43">
        <v>0.41986111111111107</v>
      </c>
      <c r="C433" t="s">
        <v>152</v>
      </c>
      <c r="D433" t="s">
        <v>36</v>
      </c>
      <c r="E433" t="s">
        <v>244</v>
      </c>
      <c r="F433">
        <v>-2000</v>
      </c>
      <c r="G433" t="s">
        <v>161</v>
      </c>
    </row>
    <row r="434" spans="1:7" x14ac:dyDescent="0.3">
      <c r="A434" s="42">
        <v>46151</v>
      </c>
      <c r="B434" s="43">
        <v>0.85296296296296292</v>
      </c>
      <c r="C434" t="s">
        <v>152</v>
      </c>
      <c r="D434" t="s">
        <v>44</v>
      </c>
      <c r="E434" t="s">
        <v>190</v>
      </c>
      <c r="F434">
        <v>-6000</v>
      </c>
      <c r="G434" t="s">
        <v>154</v>
      </c>
    </row>
    <row r="435" spans="1:7" x14ac:dyDescent="0.3">
      <c r="A435" s="42">
        <v>46151</v>
      </c>
      <c r="B435" s="43">
        <v>0.81055555555555558</v>
      </c>
      <c r="C435" t="s">
        <v>152</v>
      </c>
      <c r="D435" t="s">
        <v>43</v>
      </c>
      <c r="E435" t="s">
        <v>384</v>
      </c>
      <c r="F435">
        <v>-325583</v>
      </c>
      <c r="G435" t="s">
        <v>180</v>
      </c>
    </row>
    <row r="436" spans="1:7" x14ac:dyDescent="0.3">
      <c r="A436" s="42">
        <v>46151</v>
      </c>
      <c r="B436" s="43">
        <v>0.43703703703703711</v>
      </c>
      <c r="C436" t="s">
        <v>152</v>
      </c>
      <c r="D436" t="s">
        <v>45</v>
      </c>
      <c r="E436" t="s">
        <v>385</v>
      </c>
      <c r="F436">
        <v>-25000</v>
      </c>
      <c r="G436" t="s">
        <v>180</v>
      </c>
    </row>
    <row r="437" spans="1:7" x14ac:dyDescent="0.3">
      <c r="A437" s="42">
        <v>46151</v>
      </c>
      <c r="B437" s="43">
        <v>0.42453703703703699</v>
      </c>
      <c r="C437" t="s">
        <v>152</v>
      </c>
      <c r="D437" t="s">
        <v>36</v>
      </c>
      <c r="E437" t="s">
        <v>243</v>
      </c>
      <c r="F437">
        <v>-1500</v>
      </c>
      <c r="G437" t="s">
        <v>161</v>
      </c>
    </row>
    <row r="438" spans="1:7" x14ac:dyDescent="0.3">
      <c r="A438" s="42">
        <v>46151</v>
      </c>
      <c r="B438" s="43">
        <v>0.42453703703703699</v>
      </c>
      <c r="C438" t="s">
        <v>152</v>
      </c>
      <c r="D438" t="s">
        <v>36</v>
      </c>
      <c r="E438" t="s">
        <v>244</v>
      </c>
      <c r="F438">
        <v>-2000</v>
      </c>
      <c r="G438" t="s">
        <v>161</v>
      </c>
    </row>
    <row r="439" spans="1:7" x14ac:dyDescent="0.3">
      <c r="A439" s="42">
        <v>46151</v>
      </c>
      <c r="B439" s="43">
        <v>6.8668981481481484E-2</v>
      </c>
      <c r="C439" t="s">
        <v>155</v>
      </c>
      <c r="D439" t="s">
        <v>156</v>
      </c>
      <c r="E439" t="s">
        <v>234</v>
      </c>
      <c r="F439">
        <v>2287</v>
      </c>
      <c r="G439" t="s">
        <v>61</v>
      </c>
    </row>
    <row r="440" spans="1:7" x14ac:dyDescent="0.3">
      <c r="A440" s="42">
        <v>46151</v>
      </c>
      <c r="B440" s="43">
        <v>6.8495370370370373E-2</v>
      </c>
      <c r="C440" t="s">
        <v>155</v>
      </c>
      <c r="D440" t="s">
        <v>156</v>
      </c>
      <c r="E440" t="s">
        <v>234</v>
      </c>
      <c r="F440">
        <v>4725</v>
      </c>
      <c r="G440" t="s">
        <v>60</v>
      </c>
    </row>
    <row r="441" spans="1:7" x14ac:dyDescent="0.3">
      <c r="A441" s="42">
        <v>46150</v>
      </c>
      <c r="B441" s="43">
        <v>0.80359953703703701</v>
      </c>
      <c r="C441" t="s">
        <v>152</v>
      </c>
      <c r="D441" t="s">
        <v>40</v>
      </c>
      <c r="E441" t="s">
        <v>386</v>
      </c>
      <c r="F441">
        <v>-1300</v>
      </c>
      <c r="G441" t="s">
        <v>180</v>
      </c>
    </row>
    <row r="442" spans="1:7" x14ac:dyDescent="0.3">
      <c r="A442" s="42">
        <v>46150</v>
      </c>
      <c r="B442" s="43">
        <v>0.80108796296296292</v>
      </c>
      <c r="C442" t="s">
        <v>152</v>
      </c>
      <c r="D442" t="s">
        <v>43</v>
      </c>
      <c r="E442" t="s">
        <v>387</v>
      </c>
      <c r="F442">
        <v>-12500</v>
      </c>
      <c r="G442" t="s">
        <v>180</v>
      </c>
    </row>
    <row r="443" spans="1:7" x14ac:dyDescent="0.3">
      <c r="A443" s="42">
        <v>46150</v>
      </c>
      <c r="B443" s="43">
        <v>0.68016203703703704</v>
      </c>
      <c r="C443" t="s">
        <v>152</v>
      </c>
      <c r="D443" t="s">
        <v>44</v>
      </c>
      <c r="E443" t="s">
        <v>306</v>
      </c>
      <c r="F443">
        <v>-16400</v>
      </c>
      <c r="G443" t="s">
        <v>180</v>
      </c>
    </row>
    <row r="444" spans="1:7" x14ac:dyDescent="0.3">
      <c r="A444" s="42">
        <v>46150</v>
      </c>
      <c r="B444" s="43">
        <v>0.6457060185185185</v>
      </c>
      <c r="C444" t="s">
        <v>176</v>
      </c>
      <c r="D444" t="s">
        <v>32</v>
      </c>
      <c r="E444" t="s">
        <v>177</v>
      </c>
      <c r="F444">
        <v>540300</v>
      </c>
      <c r="G444" t="s">
        <v>61</v>
      </c>
    </row>
    <row r="445" spans="1:7" x14ac:dyDescent="0.3">
      <c r="A445" s="42">
        <v>46149</v>
      </c>
      <c r="B445" s="43">
        <v>0.66964120370370372</v>
      </c>
      <c r="C445" t="s">
        <v>152</v>
      </c>
      <c r="D445" t="s">
        <v>50</v>
      </c>
      <c r="E445" t="s">
        <v>184</v>
      </c>
      <c r="F445">
        <v>-1600</v>
      </c>
      <c r="G445" t="s">
        <v>180</v>
      </c>
    </row>
    <row r="446" spans="1:7" x14ac:dyDescent="0.3">
      <c r="A446" s="42">
        <v>46149</v>
      </c>
      <c r="B446" s="43">
        <v>0.49552083333333341</v>
      </c>
      <c r="C446" t="s">
        <v>152</v>
      </c>
      <c r="D446" t="s">
        <v>42</v>
      </c>
      <c r="E446" t="s">
        <v>388</v>
      </c>
      <c r="F446">
        <v>-9400</v>
      </c>
      <c r="G446" t="s">
        <v>180</v>
      </c>
    </row>
    <row r="447" spans="1:7" x14ac:dyDescent="0.3">
      <c r="A447" s="42">
        <v>46149</v>
      </c>
      <c r="B447" s="43">
        <v>0.49368055555555562</v>
      </c>
      <c r="C447" t="s">
        <v>152</v>
      </c>
      <c r="D447" t="s">
        <v>40</v>
      </c>
      <c r="E447" t="s">
        <v>389</v>
      </c>
      <c r="F447">
        <v>-4040</v>
      </c>
      <c r="G447" t="s">
        <v>180</v>
      </c>
    </row>
    <row r="448" spans="1:7" x14ac:dyDescent="0.3">
      <c r="A448" s="42">
        <v>46149</v>
      </c>
      <c r="B448" s="43">
        <v>0.38743055555555561</v>
      </c>
      <c r="C448" t="s">
        <v>152</v>
      </c>
      <c r="D448" t="s">
        <v>44</v>
      </c>
      <c r="E448" t="s">
        <v>306</v>
      </c>
      <c r="F448">
        <v>-14300</v>
      </c>
      <c r="G448" t="s">
        <v>180</v>
      </c>
    </row>
    <row r="449" spans="1:7" x14ac:dyDescent="0.3">
      <c r="A449" s="42">
        <v>46148</v>
      </c>
      <c r="B449" s="43">
        <v>0.59300925925925929</v>
      </c>
      <c r="C449" t="s">
        <v>152</v>
      </c>
      <c r="D449" t="s">
        <v>50</v>
      </c>
      <c r="E449" t="s">
        <v>184</v>
      </c>
      <c r="F449">
        <v>-3200</v>
      </c>
      <c r="G449" t="s">
        <v>180</v>
      </c>
    </row>
    <row r="450" spans="1:7" x14ac:dyDescent="0.3">
      <c r="A450" s="42">
        <v>46148</v>
      </c>
      <c r="B450" s="43">
        <v>0.46023148148148152</v>
      </c>
      <c r="C450" t="s">
        <v>176</v>
      </c>
      <c r="D450" t="s">
        <v>31</v>
      </c>
      <c r="E450" t="s">
        <v>390</v>
      </c>
      <c r="F450">
        <v>80870330</v>
      </c>
      <c r="G450" t="s">
        <v>67</v>
      </c>
    </row>
    <row r="451" spans="1:7" x14ac:dyDescent="0.3">
      <c r="A451" s="42">
        <v>46147</v>
      </c>
      <c r="B451" s="43">
        <v>0.87353009259259262</v>
      </c>
      <c r="C451" t="s">
        <v>152</v>
      </c>
      <c r="D451" t="s">
        <v>44</v>
      </c>
      <c r="E451" t="s">
        <v>190</v>
      </c>
      <c r="F451">
        <v>-15120</v>
      </c>
      <c r="G451" t="s">
        <v>154</v>
      </c>
    </row>
    <row r="452" spans="1:7" x14ac:dyDescent="0.3">
      <c r="A452" s="42">
        <v>46147</v>
      </c>
      <c r="B452" s="43">
        <v>0.87187499999999996</v>
      </c>
      <c r="C452" t="s">
        <v>152</v>
      </c>
      <c r="D452" t="s">
        <v>44</v>
      </c>
      <c r="E452" t="s">
        <v>190</v>
      </c>
      <c r="F452">
        <v>-14520</v>
      </c>
      <c r="G452" t="s">
        <v>154</v>
      </c>
    </row>
    <row r="453" spans="1:7" x14ac:dyDescent="0.3">
      <c r="A453" s="42">
        <v>46147</v>
      </c>
      <c r="B453" s="43">
        <v>0.80092592592592593</v>
      </c>
      <c r="C453" t="s">
        <v>152</v>
      </c>
      <c r="D453" t="s">
        <v>39</v>
      </c>
      <c r="E453" t="s">
        <v>391</v>
      </c>
      <c r="F453">
        <v>-20000</v>
      </c>
      <c r="G453" t="s">
        <v>182</v>
      </c>
    </row>
    <row r="454" spans="1:7" x14ac:dyDescent="0.3">
      <c r="A454" s="42">
        <v>46147</v>
      </c>
      <c r="B454" s="43">
        <v>0.58280092592592592</v>
      </c>
      <c r="C454" t="s">
        <v>152</v>
      </c>
      <c r="D454" t="s">
        <v>42</v>
      </c>
      <c r="E454" t="s">
        <v>392</v>
      </c>
      <c r="F454">
        <v>-103180</v>
      </c>
      <c r="G454" t="s">
        <v>180</v>
      </c>
    </row>
    <row r="455" spans="1:7" x14ac:dyDescent="0.3">
      <c r="A455" s="42">
        <v>46147</v>
      </c>
      <c r="B455" s="43">
        <v>0.55018518518518522</v>
      </c>
      <c r="C455" t="s">
        <v>152</v>
      </c>
      <c r="D455" t="s">
        <v>40</v>
      </c>
      <c r="E455" t="s">
        <v>393</v>
      </c>
      <c r="F455">
        <v>-29400</v>
      </c>
      <c r="G455" t="s">
        <v>180</v>
      </c>
    </row>
    <row r="456" spans="1:7" x14ac:dyDescent="0.3">
      <c r="A456" s="42">
        <v>46147</v>
      </c>
      <c r="B456" s="43">
        <v>0.51940972222222226</v>
      </c>
      <c r="C456" t="s">
        <v>155</v>
      </c>
      <c r="D456" t="s">
        <v>163</v>
      </c>
      <c r="E456" t="s">
        <v>7</v>
      </c>
      <c r="F456">
        <v>1623842</v>
      </c>
      <c r="G456" t="s">
        <v>61</v>
      </c>
    </row>
    <row r="457" spans="1:7" x14ac:dyDescent="0.3">
      <c r="A457" s="42">
        <v>46147</v>
      </c>
      <c r="B457" s="43">
        <v>0.513275462962963</v>
      </c>
      <c r="C457" t="s">
        <v>152</v>
      </c>
      <c r="D457" t="s">
        <v>40</v>
      </c>
      <c r="E457" t="s">
        <v>394</v>
      </c>
      <c r="F457">
        <v>-700</v>
      </c>
      <c r="G457" t="s">
        <v>186</v>
      </c>
    </row>
    <row r="458" spans="1:7" x14ac:dyDescent="0.3">
      <c r="A458" s="42">
        <v>46147</v>
      </c>
      <c r="B458" s="43">
        <v>0.4869560185185185</v>
      </c>
      <c r="C458" t="s">
        <v>152</v>
      </c>
      <c r="D458" t="s">
        <v>40</v>
      </c>
      <c r="E458" t="s">
        <v>394</v>
      </c>
      <c r="F458">
        <v>-31200</v>
      </c>
      <c r="G458" t="s">
        <v>186</v>
      </c>
    </row>
    <row r="459" spans="1:7" x14ac:dyDescent="0.3">
      <c r="A459" s="42">
        <v>46147</v>
      </c>
      <c r="B459" s="43">
        <v>0.42225694444444439</v>
      </c>
      <c r="C459" t="s">
        <v>152</v>
      </c>
      <c r="D459" t="s">
        <v>44</v>
      </c>
      <c r="E459" t="s">
        <v>395</v>
      </c>
      <c r="F459">
        <v>-270000</v>
      </c>
      <c r="G459" t="s">
        <v>61</v>
      </c>
    </row>
    <row r="460" spans="1:7" x14ac:dyDescent="0.3">
      <c r="A460" s="42">
        <v>46146</v>
      </c>
      <c r="B460" s="43">
        <v>0.80252314814814818</v>
      </c>
      <c r="C460" t="s">
        <v>155</v>
      </c>
      <c r="D460" t="s">
        <v>213</v>
      </c>
      <c r="E460" t="s">
        <v>214</v>
      </c>
      <c r="F460">
        <v>-59740</v>
      </c>
      <c r="G460" t="s">
        <v>61</v>
      </c>
    </row>
    <row r="461" spans="1:7" x14ac:dyDescent="0.3">
      <c r="A461" s="42">
        <v>46146</v>
      </c>
      <c r="B461" s="43">
        <v>0.72619212962962965</v>
      </c>
      <c r="C461" t="s">
        <v>152</v>
      </c>
      <c r="D461" t="s">
        <v>37</v>
      </c>
      <c r="E461" t="s">
        <v>396</v>
      </c>
      <c r="F461">
        <v>-1200</v>
      </c>
      <c r="G461" t="s">
        <v>186</v>
      </c>
    </row>
    <row r="462" spans="1:7" x14ac:dyDescent="0.3">
      <c r="A462" s="42">
        <v>46146</v>
      </c>
      <c r="B462" s="43">
        <v>0.52512731481481478</v>
      </c>
      <c r="C462" t="s">
        <v>152</v>
      </c>
      <c r="D462" t="s">
        <v>42</v>
      </c>
      <c r="E462" t="s">
        <v>397</v>
      </c>
      <c r="F462">
        <v>-29800</v>
      </c>
      <c r="G462" t="s">
        <v>186</v>
      </c>
    </row>
    <row r="463" spans="1:7" x14ac:dyDescent="0.3">
      <c r="A463" s="42">
        <v>46146</v>
      </c>
      <c r="B463" s="43">
        <v>0.4599537037037037</v>
      </c>
      <c r="C463" t="s">
        <v>152</v>
      </c>
      <c r="D463" t="s">
        <v>37</v>
      </c>
      <c r="E463" t="s">
        <v>396</v>
      </c>
      <c r="F463">
        <v>-1000</v>
      </c>
      <c r="G463" t="s">
        <v>186</v>
      </c>
    </row>
    <row r="464" spans="1:7" x14ac:dyDescent="0.3">
      <c r="A464" s="42">
        <v>46146</v>
      </c>
      <c r="B464" s="43">
        <v>0.41703703703703698</v>
      </c>
      <c r="C464" t="s">
        <v>155</v>
      </c>
      <c r="D464" t="s">
        <v>155</v>
      </c>
      <c r="E464" t="s">
        <v>281</v>
      </c>
      <c r="F464">
        <v>-50000000</v>
      </c>
      <c r="G464" t="s">
        <v>61</v>
      </c>
    </row>
    <row r="465" spans="1:7" x14ac:dyDescent="0.3">
      <c r="A465" s="42">
        <v>46145</v>
      </c>
      <c r="B465" s="43">
        <v>0.89137731481481486</v>
      </c>
      <c r="C465" t="s">
        <v>155</v>
      </c>
      <c r="D465" t="s">
        <v>163</v>
      </c>
      <c r="E465" t="s">
        <v>7</v>
      </c>
      <c r="F465">
        <v>-30000000</v>
      </c>
      <c r="G465" t="s">
        <v>60</v>
      </c>
    </row>
    <row r="466" spans="1:7" x14ac:dyDescent="0.3">
      <c r="A466" s="42">
        <v>46145</v>
      </c>
      <c r="B466" s="43">
        <v>0.89137731481481486</v>
      </c>
      <c r="C466" t="s">
        <v>155</v>
      </c>
      <c r="D466" t="s">
        <v>163</v>
      </c>
      <c r="E466" t="s">
        <v>7</v>
      </c>
      <c r="F466">
        <v>30000000</v>
      </c>
      <c r="G466" t="s">
        <v>61</v>
      </c>
    </row>
    <row r="467" spans="1:7" x14ac:dyDescent="0.3">
      <c r="A467" s="42">
        <v>46145</v>
      </c>
      <c r="B467" s="43">
        <v>0.88415509259259262</v>
      </c>
      <c r="C467" t="s">
        <v>152</v>
      </c>
      <c r="D467" t="s">
        <v>50</v>
      </c>
      <c r="E467" t="s">
        <v>398</v>
      </c>
      <c r="F467">
        <v>-59900</v>
      </c>
      <c r="G467" t="s">
        <v>182</v>
      </c>
    </row>
    <row r="468" spans="1:7" x14ac:dyDescent="0.3">
      <c r="A468" s="42">
        <v>46145</v>
      </c>
      <c r="B468" s="43">
        <v>0.83171296296296293</v>
      </c>
      <c r="C468" t="s">
        <v>152</v>
      </c>
      <c r="D468" t="s">
        <v>44</v>
      </c>
      <c r="E468" t="s">
        <v>399</v>
      </c>
      <c r="F468">
        <v>7175</v>
      </c>
      <c r="G468" t="s">
        <v>154</v>
      </c>
    </row>
    <row r="469" spans="1:7" x14ac:dyDescent="0.3">
      <c r="A469" s="42">
        <v>46145</v>
      </c>
      <c r="B469" s="43">
        <v>0.76667824074074076</v>
      </c>
      <c r="C469" t="s">
        <v>152</v>
      </c>
      <c r="D469" t="s">
        <v>44</v>
      </c>
      <c r="E469" t="s">
        <v>306</v>
      </c>
      <c r="F469">
        <v>-16400</v>
      </c>
      <c r="G469" t="s">
        <v>180</v>
      </c>
    </row>
    <row r="470" spans="1:7" x14ac:dyDescent="0.3">
      <c r="A470" s="42">
        <v>46145</v>
      </c>
      <c r="B470" s="43">
        <v>0.74496527777777777</v>
      </c>
      <c r="C470" t="s">
        <v>155</v>
      </c>
      <c r="D470" t="s">
        <v>155</v>
      </c>
      <c r="E470" t="s">
        <v>210</v>
      </c>
      <c r="F470">
        <v>213000</v>
      </c>
      <c r="G470" t="s">
        <v>60</v>
      </c>
    </row>
    <row r="471" spans="1:7" x14ac:dyDescent="0.3">
      <c r="A471" s="42">
        <v>46145</v>
      </c>
      <c r="B471" s="43">
        <v>0.68583333333333329</v>
      </c>
      <c r="C471" t="s">
        <v>152</v>
      </c>
      <c r="D471" t="s">
        <v>37</v>
      </c>
      <c r="E471" t="s">
        <v>396</v>
      </c>
      <c r="F471">
        <v>-2000</v>
      </c>
      <c r="G471" t="s">
        <v>186</v>
      </c>
    </row>
    <row r="472" spans="1:7" x14ac:dyDescent="0.3">
      <c r="A472" s="42">
        <v>46145</v>
      </c>
      <c r="B472" s="43">
        <v>0.68005787037037035</v>
      </c>
      <c r="C472" t="s">
        <v>152</v>
      </c>
      <c r="D472" t="s">
        <v>44</v>
      </c>
      <c r="E472" t="s">
        <v>399</v>
      </c>
      <c r="F472">
        <v>-7175</v>
      </c>
      <c r="G472" t="s">
        <v>154</v>
      </c>
    </row>
    <row r="473" spans="1:7" x14ac:dyDescent="0.3">
      <c r="A473" s="42">
        <v>46145</v>
      </c>
      <c r="B473" s="43">
        <v>0.52957175925925926</v>
      </c>
      <c r="C473" t="s">
        <v>152</v>
      </c>
      <c r="D473" t="s">
        <v>47</v>
      </c>
      <c r="E473" t="s">
        <v>372</v>
      </c>
      <c r="F473">
        <v>-15600</v>
      </c>
      <c r="G473" t="s">
        <v>236</v>
      </c>
    </row>
    <row r="474" spans="1:7" x14ac:dyDescent="0.3">
      <c r="A474" s="42">
        <v>46145</v>
      </c>
      <c r="B474" s="43">
        <v>0.51019675925925922</v>
      </c>
      <c r="C474" t="s">
        <v>155</v>
      </c>
      <c r="D474" t="s">
        <v>155</v>
      </c>
      <c r="E474" t="s">
        <v>166</v>
      </c>
      <c r="F474">
        <v>-50000</v>
      </c>
      <c r="G474" t="s">
        <v>61</v>
      </c>
    </row>
    <row r="475" spans="1:7" x14ac:dyDescent="0.3">
      <c r="A475" s="42">
        <v>46145</v>
      </c>
      <c r="B475" s="43">
        <v>0.42707175925925928</v>
      </c>
      <c r="C475" t="s">
        <v>152</v>
      </c>
      <c r="D475" t="s">
        <v>36</v>
      </c>
      <c r="E475" t="s">
        <v>226</v>
      </c>
      <c r="F475">
        <v>-1600</v>
      </c>
      <c r="G475" t="s">
        <v>161</v>
      </c>
    </row>
    <row r="476" spans="1:7" x14ac:dyDescent="0.3">
      <c r="A476" s="42">
        <v>46145</v>
      </c>
      <c r="B476" s="43">
        <v>0.42707175925925928</v>
      </c>
      <c r="C476" t="s">
        <v>152</v>
      </c>
      <c r="D476" t="s">
        <v>36</v>
      </c>
      <c r="E476" t="s">
        <v>225</v>
      </c>
      <c r="F476">
        <v>-1800</v>
      </c>
      <c r="G476" t="s">
        <v>161</v>
      </c>
    </row>
    <row r="477" spans="1:7" x14ac:dyDescent="0.3">
      <c r="A477" s="42">
        <v>46144</v>
      </c>
      <c r="B477" s="43">
        <v>0.84347222222222218</v>
      </c>
      <c r="C477" t="s">
        <v>152</v>
      </c>
      <c r="D477" t="s">
        <v>44</v>
      </c>
      <c r="E477" t="s">
        <v>190</v>
      </c>
      <c r="F477">
        <v>-11770</v>
      </c>
      <c r="G477" t="s">
        <v>154</v>
      </c>
    </row>
    <row r="478" spans="1:7" x14ac:dyDescent="0.3">
      <c r="A478" s="42">
        <v>46144</v>
      </c>
      <c r="B478" s="43">
        <v>0.84229166666666666</v>
      </c>
      <c r="C478" t="s">
        <v>152</v>
      </c>
      <c r="D478" t="s">
        <v>44</v>
      </c>
      <c r="E478" t="s">
        <v>190</v>
      </c>
      <c r="F478">
        <v>-7300</v>
      </c>
      <c r="G478" t="s">
        <v>154</v>
      </c>
    </row>
    <row r="479" spans="1:7" x14ac:dyDescent="0.3">
      <c r="A479" s="42">
        <v>46144</v>
      </c>
      <c r="B479" s="43">
        <v>0.84078703703703705</v>
      </c>
      <c r="C479" t="s">
        <v>152</v>
      </c>
      <c r="D479" t="s">
        <v>40</v>
      </c>
      <c r="E479" t="s">
        <v>400</v>
      </c>
      <c r="F479">
        <v>-24900</v>
      </c>
      <c r="G479" t="s">
        <v>182</v>
      </c>
    </row>
    <row r="480" spans="1:7" x14ac:dyDescent="0.3">
      <c r="A480" s="42">
        <v>46144</v>
      </c>
      <c r="B480" s="43">
        <v>0.4573726851851852</v>
      </c>
      <c r="C480" t="s">
        <v>152</v>
      </c>
      <c r="D480" t="s">
        <v>40</v>
      </c>
      <c r="E480" t="s">
        <v>329</v>
      </c>
      <c r="F480">
        <v>-5000</v>
      </c>
      <c r="G480" t="s">
        <v>186</v>
      </c>
    </row>
    <row r="481" spans="1:7" x14ac:dyDescent="0.3">
      <c r="A481" s="42">
        <v>46144</v>
      </c>
      <c r="B481" s="43">
        <v>0.45265046296296302</v>
      </c>
      <c r="C481" t="s">
        <v>152</v>
      </c>
      <c r="D481" t="s">
        <v>45</v>
      </c>
      <c r="E481" t="s">
        <v>401</v>
      </c>
      <c r="F481">
        <v>-6900</v>
      </c>
      <c r="G481" t="s">
        <v>186</v>
      </c>
    </row>
    <row r="482" spans="1:7" x14ac:dyDescent="0.3">
      <c r="A482" s="42">
        <v>46144</v>
      </c>
      <c r="B482" s="43">
        <v>0.41333333333333327</v>
      </c>
      <c r="C482" t="s">
        <v>152</v>
      </c>
      <c r="D482" t="s">
        <v>36</v>
      </c>
      <c r="E482" t="s">
        <v>243</v>
      </c>
      <c r="F482">
        <v>-1500</v>
      </c>
      <c r="G482" t="s">
        <v>161</v>
      </c>
    </row>
    <row r="483" spans="1:7" x14ac:dyDescent="0.3">
      <c r="A483" s="42">
        <v>46144</v>
      </c>
      <c r="B483" s="43">
        <v>0.41333333333333327</v>
      </c>
      <c r="C483" t="s">
        <v>152</v>
      </c>
      <c r="D483" t="s">
        <v>36</v>
      </c>
      <c r="E483" t="s">
        <v>244</v>
      </c>
      <c r="F483">
        <v>-2000</v>
      </c>
      <c r="G483" t="s">
        <v>161</v>
      </c>
    </row>
    <row r="484" spans="1:7" x14ac:dyDescent="0.3">
      <c r="A484" s="42">
        <v>46144</v>
      </c>
      <c r="B484" s="43">
        <v>0.34</v>
      </c>
      <c r="C484" t="s">
        <v>152</v>
      </c>
      <c r="D484" t="s">
        <v>38</v>
      </c>
      <c r="E484" t="s">
        <v>402</v>
      </c>
      <c r="F484">
        <v>-5000</v>
      </c>
      <c r="G484" t="s">
        <v>186</v>
      </c>
    </row>
    <row r="485" spans="1:7" x14ac:dyDescent="0.3">
      <c r="A485" s="42">
        <v>46143</v>
      </c>
      <c r="B485" s="43">
        <v>0.70395833333333335</v>
      </c>
      <c r="C485" t="s">
        <v>155</v>
      </c>
      <c r="D485" t="s">
        <v>71</v>
      </c>
      <c r="E485" t="s">
        <v>327</v>
      </c>
      <c r="F485">
        <v>-270000</v>
      </c>
      <c r="G485" t="s">
        <v>60</v>
      </c>
    </row>
    <row r="486" spans="1:7" x14ac:dyDescent="0.3">
      <c r="A486" s="42">
        <v>46143</v>
      </c>
      <c r="B486" s="43">
        <v>0.60548611111111106</v>
      </c>
      <c r="C486" t="s">
        <v>155</v>
      </c>
      <c r="D486" t="s">
        <v>163</v>
      </c>
      <c r="E486" t="s">
        <v>7</v>
      </c>
      <c r="F486">
        <v>-6000000</v>
      </c>
      <c r="G486" t="s">
        <v>67</v>
      </c>
    </row>
    <row r="487" spans="1:7" x14ac:dyDescent="0.3">
      <c r="A487" s="42">
        <v>46143</v>
      </c>
      <c r="B487" s="43">
        <v>0.60548611111111106</v>
      </c>
      <c r="C487" t="s">
        <v>155</v>
      </c>
      <c r="D487" t="s">
        <v>163</v>
      </c>
      <c r="E487" t="s">
        <v>7</v>
      </c>
      <c r="F487">
        <v>6000000</v>
      </c>
      <c r="G487" t="s">
        <v>61</v>
      </c>
    </row>
    <row r="488" spans="1:7" x14ac:dyDescent="0.3">
      <c r="A488" s="42">
        <v>46143</v>
      </c>
      <c r="B488" s="43">
        <v>0.55559027777777781</v>
      </c>
      <c r="C488" t="s">
        <v>152</v>
      </c>
      <c r="D488" t="s">
        <v>38</v>
      </c>
      <c r="E488" t="s">
        <v>403</v>
      </c>
      <c r="F488">
        <v>-10000</v>
      </c>
      <c r="G488" t="s">
        <v>186</v>
      </c>
    </row>
    <row r="489" spans="1:7" x14ac:dyDescent="0.3">
      <c r="A489" s="42">
        <v>46143</v>
      </c>
      <c r="B489" s="43">
        <v>0.52495370370370376</v>
      </c>
      <c r="C489" t="s">
        <v>152</v>
      </c>
      <c r="D489" t="s">
        <v>42</v>
      </c>
      <c r="E489" t="s">
        <v>404</v>
      </c>
      <c r="F489">
        <v>-46000</v>
      </c>
      <c r="G489" t="s">
        <v>186</v>
      </c>
    </row>
    <row r="490" spans="1:7" x14ac:dyDescent="0.3">
      <c r="A490" s="42">
        <v>46143</v>
      </c>
      <c r="B490" s="43">
        <v>0.43930555555555562</v>
      </c>
      <c r="C490" t="s">
        <v>152</v>
      </c>
      <c r="D490" t="s">
        <v>36</v>
      </c>
      <c r="E490" t="s">
        <v>243</v>
      </c>
      <c r="F490">
        <v>-1500</v>
      </c>
      <c r="G490" t="s">
        <v>161</v>
      </c>
    </row>
    <row r="491" spans="1:7" x14ac:dyDescent="0.3">
      <c r="A491" s="42">
        <v>46143</v>
      </c>
      <c r="B491" s="43">
        <v>0.43930555555555562</v>
      </c>
      <c r="C491" t="s">
        <v>152</v>
      </c>
      <c r="D491" t="s">
        <v>36</v>
      </c>
      <c r="E491" t="s">
        <v>244</v>
      </c>
      <c r="F491">
        <v>-2000</v>
      </c>
      <c r="G491" t="s">
        <v>161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80"/>
  <sheetViews>
    <sheetView workbookViewId="0">
      <selection activeCell="G1" sqref="G1:G1048576"/>
    </sheetView>
  </sheetViews>
  <sheetFormatPr defaultRowHeight="16.5" x14ac:dyDescent="0.3"/>
  <cols>
    <col min="1" max="1" width="15.75" customWidth="1"/>
    <col min="5" max="6" width="20.75" customWidth="1"/>
    <col min="7" max="7" width="38.25" customWidth="1"/>
    <col min="8" max="8" width="20.75" customWidth="1"/>
  </cols>
  <sheetData>
    <row r="1" spans="1:8" x14ac:dyDescent="0.3">
      <c r="A1" s="41" t="s">
        <v>146</v>
      </c>
      <c r="B1" s="41" t="s">
        <v>147</v>
      </c>
      <c r="C1" s="41" t="s">
        <v>148</v>
      </c>
      <c r="D1" s="41" t="s">
        <v>149</v>
      </c>
      <c r="E1" s="41" t="s">
        <v>150</v>
      </c>
      <c r="F1" s="41" t="s">
        <v>58</v>
      </c>
      <c r="G1" s="41" t="s">
        <v>151</v>
      </c>
      <c r="H1" s="41" t="s">
        <v>427</v>
      </c>
    </row>
    <row r="2" spans="1:8" x14ac:dyDescent="0.3">
      <c r="A2" s="42">
        <v>46222</v>
      </c>
      <c r="B2" s="43">
        <v>0.37204861111111109</v>
      </c>
      <c r="C2" t="s">
        <v>152</v>
      </c>
      <c r="D2" t="s">
        <v>43</v>
      </c>
      <c r="E2" t="s">
        <v>472</v>
      </c>
      <c r="F2">
        <v>-20000</v>
      </c>
      <c r="G2" t="s">
        <v>473</v>
      </c>
    </row>
    <row r="3" spans="1:8" x14ac:dyDescent="0.3">
      <c r="A3" s="42">
        <v>46222</v>
      </c>
      <c r="B3" s="43">
        <v>0.3714351851851852</v>
      </c>
      <c r="C3" t="s">
        <v>152</v>
      </c>
      <c r="D3" t="s">
        <v>36</v>
      </c>
      <c r="E3" t="s">
        <v>474</v>
      </c>
      <c r="F3">
        <v>-100</v>
      </c>
      <c r="G3" t="s">
        <v>475</v>
      </c>
    </row>
    <row r="4" spans="1:8" x14ac:dyDescent="0.3">
      <c r="A4" s="42">
        <v>46222</v>
      </c>
      <c r="B4" s="43">
        <v>0.3714351851851852</v>
      </c>
      <c r="C4" t="s">
        <v>152</v>
      </c>
      <c r="D4" t="s">
        <v>36</v>
      </c>
      <c r="E4" t="s">
        <v>476</v>
      </c>
      <c r="F4">
        <v>-3100</v>
      </c>
      <c r="G4" t="s">
        <v>475</v>
      </c>
    </row>
    <row r="5" spans="1:8" x14ac:dyDescent="0.3">
      <c r="A5" s="42">
        <v>46222</v>
      </c>
      <c r="B5" s="43">
        <v>0.35239583333333341</v>
      </c>
      <c r="C5" t="s">
        <v>176</v>
      </c>
      <c r="D5" t="s">
        <v>28</v>
      </c>
      <c r="E5" t="s">
        <v>477</v>
      </c>
      <c r="F5">
        <v>0</v>
      </c>
      <c r="G5" t="s">
        <v>435</v>
      </c>
    </row>
    <row r="6" spans="1:8" x14ac:dyDescent="0.3">
      <c r="A6" s="42">
        <v>46221</v>
      </c>
      <c r="B6" s="43">
        <v>0.59068287037037037</v>
      </c>
      <c r="C6" t="s">
        <v>152</v>
      </c>
      <c r="D6" t="s">
        <v>43</v>
      </c>
      <c r="E6" t="s">
        <v>472</v>
      </c>
      <c r="F6">
        <v>-69000</v>
      </c>
      <c r="G6" t="s">
        <v>473</v>
      </c>
    </row>
    <row r="7" spans="1:8" x14ac:dyDescent="0.3">
      <c r="A7" s="42">
        <v>46221</v>
      </c>
      <c r="B7" s="43">
        <v>0.38072916666666667</v>
      </c>
      <c r="C7" t="s">
        <v>152</v>
      </c>
      <c r="D7" t="s">
        <v>40</v>
      </c>
      <c r="E7" t="s">
        <v>478</v>
      </c>
      <c r="F7">
        <v>-1950</v>
      </c>
      <c r="G7" t="s">
        <v>473</v>
      </c>
    </row>
    <row r="8" spans="1:8" x14ac:dyDescent="0.3">
      <c r="A8" s="42">
        <v>46221</v>
      </c>
      <c r="B8" s="43">
        <v>0.37981481481481483</v>
      </c>
      <c r="C8" t="s">
        <v>152</v>
      </c>
      <c r="D8" t="s">
        <v>40</v>
      </c>
      <c r="E8" t="s">
        <v>478</v>
      </c>
      <c r="F8">
        <v>-35400</v>
      </c>
      <c r="G8" t="s">
        <v>473</v>
      </c>
    </row>
    <row r="9" spans="1:8" x14ac:dyDescent="0.3">
      <c r="A9" s="42">
        <v>46221</v>
      </c>
      <c r="B9" s="43">
        <v>0.37368055555555563</v>
      </c>
      <c r="C9" t="s">
        <v>152</v>
      </c>
      <c r="D9" t="s">
        <v>36</v>
      </c>
      <c r="E9" t="s">
        <v>476</v>
      </c>
      <c r="F9">
        <v>-3100</v>
      </c>
      <c r="G9" t="s">
        <v>475</v>
      </c>
    </row>
    <row r="10" spans="1:8" x14ac:dyDescent="0.3">
      <c r="A10" s="42">
        <v>46220</v>
      </c>
      <c r="B10" s="43">
        <v>0.55997685185185186</v>
      </c>
      <c r="C10" t="s">
        <v>152</v>
      </c>
      <c r="D10" t="s">
        <v>49</v>
      </c>
      <c r="E10" t="s">
        <v>479</v>
      </c>
      <c r="F10">
        <v>-3800</v>
      </c>
      <c r="G10" t="s">
        <v>473</v>
      </c>
    </row>
    <row r="11" spans="1:8" x14ac:dyDescent="0.3">
      <c r="A11" s="42">
        <v>46220</v>
      </c>
      <c r="B11" s="43">
        <v>0.55828703703703708</v>
      </c>
      <c r="C11" t="s">
        <v>152</v>
      </c>
      <c r="D11" t="s">
        <v>44</v>
      </c>
      <c r="E11" t="s">
        <v>383</v>
      </c>
      <c r="F11">
        <v>-26400</v>
      </c>
      <c r="G11" t="s">
        <v>236</v>
      </c>
    </row>
    <row r="12" spans="1:8" x14ac:dyDescent="0.3">
      <c r="A12" s="42">
        <v>46220</v>
      </c>
      <c r="B12" s="43">
        <v>0.39083333333333331</v>
      </c>
      <c r="C12" t="s">
        <v>176</v>
      </c>
      <c r="D12" t="s">
        <v>28</v>
      </c>
      <c r="E12" t="s">
        <v>273</v>
      </c>
      <c r="F12">
        <v>255</v>
      </c>
      <c r="G12" t="s">
        <v>438</v>
      </c>
    </row>
    <row r="13" spans="1:8" x14ac:dyDescent="0.3">
      <c r="A13" s="42">
        <v>46220</v>
      </c>
      <c r="B13" s="43">
        <v>0.37608796296296299</v>
      </c>
      <c r="C13" t="s">
        <v>152</v>
      </c>
      <c r="D13" t="s">
        <v>36</v>
      </c>
      <c r="E13" t="s">
        <v>476</v>
      </c>
      <c r="F13">
        <v>-3100</v>
      </c>
      <c r="G13" t="s">
        <v>475</v>
      </c>
    </row>
    <row r="14" spans="1:8" x14ac:dyDescent="0.3">
      <c r="A14" s="42">
        <v>46219</v>
      </c>
      <c r="B14" s="43">
        <v>0.7922569444444445</v>
      </c>
      <c r="C14" t="s">
        <v>152</v>
      </c>
      <c r="D14" t="s">
        <v>37</v>
      </c>
      <c r="E14" t="s">
        <v>480</v>
      </c>
      <c r="F14">
        <v>-6000</v>
      </c>
      <c r="G14" t="s">
        <v>481</v>
      </c>
    </row>
    <row r="15" spans="1:8" x14ac:dyDescent="0.3">
      <c r="A15" s="42">
        <v>46219</v>
      </c>
      <c r="B15" s="43">
        <v>0.43917824074074069</v>
      </c>
      <c r="C15" t="s">
        <v>176</v>
      </c>
      <c r="D15" t="s">
        <v>430</v>
      </c>
      <c r="E15" t="s">
        <v>482</v>
      </c>
      <c r="F15">
        <v>40000</v>
      </c>
      <c r="G15" t="s">
        <v>438</v>
      </c>
    </row>
    <row r="16" spans="1:8" x14ac:dyDescent="0.3">
      <c r="A16" s="42">
        <v>46217</v>
      </c>
      <c r="B16" s="43">
        <v>0.96818287037037032</v>
      </c>
      <c r="C16" t="s">
        <v>155</v>
      </c>
      <c r="D16" t="s">
        <v>163</v>
      </c>
      <c r="E16" t="s">
        <v>277</v>
      </c>
      <c r="F16">
        <v>50000</v>
      </c>
      <c r="G16" t="s">
        <v>67</v>
      </c>
    </row>
    <row r="17" spans="1:7" x14ac:dyDescent="0.3">
      <c r="A17" s="42">
        <v>46217</v>
      </c>
      <c r="B17" s="43">
        <v>0.96818287037037032</v>
      </c>
      <c r="C17" t="s">
        <v>155</v>
      </c>
      <c r="D17" t="s">
        <v>163</v>
      </c>
      <c r="E17" t="s">
        <v>483</v>
      </c>
      <c r="F17">
        <v>-50000</v>
      </c>
      <c r="G17" t="s">
        <v>440</v>
      </c>
    </row>
    <row r="18" spans="1:7" x14ac:dyDescent="0.3">
      <c r="A18" s="42">
        <v>46217</v>
      </c>
      <c r="B18" s="43">
        <v>0.96770833333333328</v>
      </c>
      <c r="C18" t="s">
        <v>155</v>
      </c>
      <c r="D18" t="s">
        <v>163</v>
      </c>
      <c r="E18" t="s">
        <v>277</v>
      </c>
      <c r="F18">
        <v>50000</v>
      </c>
      <c r="G18" t="s">
        <v>67</v>
      </c>
    </row>
    <row r="19" spans="1:7" x14ac:dyDescent="0.3">
      <c r="A19" s="42">
        <v>46217</v>
      </c>
      <c r="B19" s="43">
        <v>0.96770833333333328</v>
      </c>
      <c r="C19" t="s">
        <v>155</v>
      </c>
      <c r="D19" t="s">
        <v>163</v>
      </c>
      <c r="E19" t="s">
        <v>277</v>
      </c>
      <c r="F19">
        <v>-50000</v>
      </c>
      <c r="G19" t="s">
        <v>67</v>
      </c>
    </row>
    <row r="20" spans="1:7" x14ac:dyDescent="0.3">
      <c r="A20" s="42">
        <v>46217</v>
      </c>
      <c r="B20" s="43">
        <v>0.96717592592592594</v>
      </c>
      <c r="C20" t="s">
        <v>155</v>
      </c>
      <c r="D20" t="s">
        <v>163</v>
      </c>
      <c r="E20" t="s">
        <v>277</v>
      </c>
      <c r="F20">
        <v>20000000</v>
      </c>
      <c r="G20" t="s">
        <v>438</v>
      </c>
    </row>
    <row r="21" spans="1:7" x14ac:dyDescent="0.3">
      <c r="A21" s="42">
        <v>46217</v>
      </c>
      <c r="B21" s="43">
        <v>0.96717592592592594</v>
      </c>
      <c r="C21" t="s">
        <v>155</v>
      </c>
      <c r="D21" t="s">
        <v>163</v>
      </c>
      <c r="E21" t="s">
        <v>277</v>
      </c>
      <c r="F21">
        <v>-20000000</v>
      </c>
      <c r="G21" t="s">
        <v>440</v>
      </c>
    </row>
    <row r="22" spans="1:7" x14ac:dyDescent="0.3">
      <c r="A22" s="42">
        <v>46217</v>
      </c>
      <c r="B22" s="43">
        <v>0.96664351851851849</v>
      </c>
      <c r="C22" t="s">
        <v>152</v>
      </c>
      <c r="D22" t="s">
        <v>37</v>
      </c>
      <c r="E22" t="s">
        <v>421</v>
      </c>
      <c r="F22">
        <v>-19998905</v>
      </c>
      <c r="G22" t="s">
        <v>438</v>
      </c>
    </row>
    <row r="23" spans="1:7" x14ac:dyDescent="0.3">
      <c r="A23" s="42">
        <v>46217</v>
      </c>
      <c r="B23" s="43">
        <v>0.92212962962962963</v>
      </c>
      <c r="C23" t="s">
        <v>152</v>
      </c>
      <c r="D23" t="s">
        <v>47</v>
      </c>
      <c r="E23" t="s">
        <v>484</v>
      </c>
      <c r="F23">
        <v>-1100</v>
      </c>
      <c r="G23" t="s">
        <v>473</v>
      </c>
    </row>
    <row r="24" spans="1:7" x14ac:dyDescent="0.3">
      <c r="A24" s="42">
        <v>46217</v>
      </c>
      <c r="B24" s="43">
        <v>0.78754629629629624</v>
      </c>
      <c r="C24" t="s">
        <v>155</v>
      </c>
      <c r="D24" t="s">
        <v>213</v>
      </c>
      <c r="E24" t="s">
        <v>485</v>
      </c>
      <c r="F24">
        <v>-200</v>
      </c>
      <c r="G24" t="s">
        <v>441</v>
      </c>
    </row>
    <row r="25" spans="1:7" x14ac:dyDescent="0.3">
      <c r="A25" s="42">
        <v>46217</v>
      </c>
      <c r="B25" s="43">
        <v>0.78754629629629624</v>
      </c>
      <c r="C25" t="s">
        <v>152</v>
      </c>
      <c r="D25" t="s">
        <v>37</v>
      </c>
      <c r="E25" t="s">
        <v>486</v>
      </c>
      <c r="F25">
        <v>-6800</v>
      </c>
      <c r="G25" t="s">
        <v>441</v>
      </c>
    </row>
    <row r="26" spans="1:7" x14ac:dyDescent="0.3">
      <c r="A26" s="42">
        <v>46217</v>
      </c>
      <c r="B26" s="43">
        <v>0.59266203703703701</v>
      </c>
      <c r="C26" t="s">
        <v>155</v>
      </c>
      <c r="D26" t="s">
        <v>163</v>
      </c>
      <c r="E26" t="s">
        <v>487</v>
      </c>
      <c r="F26">
        <v>250027</v>
      </c>
      <c r="G26" t="s">
        <v>438</v>
      </c>
    </row>
    <row r="27" spans="1:7" x14ac:dyDescent="0.3">
      <c r="A27" s="42">
        <v>46217</v>
      </c>
      <c r="B27" s="43">
        <v>0.41650462962962959</v>
      </c>
      <c r="C27" t="s">
        <v>152</v>
      </c>
      <c r="D27" t="s">
        <v>36</v>
      </c>
      <c r="E27" t="s">
        <v>488</v>
      </c>
      <c r="F27">
        <v>-200</v>
      </c>
      <c r="G27" t="s">
        <v>475</v>
      </c>
    </row>
    <row r="28" spans="1:7" x14ac:dyDescent="0.3">
      <c r="A28" s="42">
        <v>46217</v>
      </c>
      <c r="B28" s="43">
        <v>0.41650462962962959</v>
      </c>
      <c r="C28" t="s">
        <v>152</v>
      </c>
      <c r="D28" t="s">
        <v>36</v>
      </c>
      <c r="E28" t="s">
        <v>489</v>
      </c>
      <c r="F28">
        <v>-6800</v>
      </c>
      <c r="G28" t="s">
        <v>475</v>
      </c>
    </row>
    <row r="29" spans="1:7" x14ac:dyDescent="0.3">
      <c r="A29" s="42">
        <v>46216</v>
      </c>
      <c r="B29" s="43">
        <v>0.78273148148148153</v>
      </c>
      <c r="C29" t="s">
        <v>152</v>
      </c>
      <c r="D29" t="s">
        <v>37</v>
      </c>
      <c r="E29" t="s">
        <v>490</v>
      </c>
      <c r="F29">
        <v>-1550</v>
      </c>
      <c r="G29" t="s">
        <v>441</v>
      </c>
    </row>
    <row r="30" spans="1:7" x14ac:dyDescent="0.3">
      <c r="A30" s="42">
        <v>46216</v>
      </c>
      <c r="B30" s="43">
        <v>0.78273148148148153</v>
      </c>
      <c r="C30" t="s">
        <v>155</v>
      </c>
      <c r="D30" t="s">
        <v>213</v>
      </c>
      <c r="E30" t="s">
        <v>491</v>
      </c>
      <c r="F30">
        <v>-1650</v>
      </c>
      <c r="G30" t="s">
        <v>441</v>
      </c>
    </row>
    <row r="31" spans="1:7" x14ac:dyDescent="0.3">
      <c r="A31" s="42">
        <v>46216</v>
      </c>
      <c r="B31" s="43">
        <v>0.78273148148148153</v>
      </c>
      <c r="C31" t="s">
        <v>152</v>
      </c>
      <c r="D31" t="s">
        <v>37</v>
      </c>
      <c r="E31" t="s">
        <v>492</v>
      </c>
      <c r="F31">
        <v>-3100</v>
      </c>
      <c r="G31" t="s">
        <v>441</v>
      </c>
    </row>
    <row r="32" spans="1:7" x14ac:dyDescent="0.3">
      <c r="A32" s="42">
        <v>46216</v>
      </c>
      <c r="B32" s="43">
        <v>0.78273148148148153</v>
      </c>
      <c r="C32" t="s">
        <v>152</v>
      </c>
      <c r="D32" t="s">
        <v>37</v>
      </c>
      <c r="E32" t="s">
        <v>490</v>
      </c>
      <c r="F32">
        <v>-1550</v>
      </c>
      <c r="G32" t="s">
        <v>441</v>
      </c>
    </row>
    <row r="33" spans="1:8" x14ac:dyDescent="0.3">
      <c r="A33" s="42">
        <v>46216</v>
      </c>
      <c r="B33" s="43">
        <v>0.70694444444444449</v>
      </c>
      <c r="C33" t="s">
        <v>152</v>
      </c>
      <c r="D33" t="s">
        <v>45</v>
      </c>
      <c r="E33" t="s">
        <v>493</v>
      </c>
      <c r="F33">
        <v>-20790</v>
      </c>
      <c r="G33" t="s">
        <v>481</v>
      </c>
      <c r="H33" t="s">
        <v>494</v>
      </c>
    </row>
    <row r="34" spans="1:8" x14ac:dyDescent="0.3">
      <c r="A34" s="42">
        <v>46216</v>
      </c>
      <c r="B34" s="43">
        <v>0.70694444444444449</v>
      </c>
      <c r="C34" t="s">
        <v>152</v>
      </c>
      <c r="D34" t="s">
        <v>45</v>
      </c>
      <c r="E34" t="s">
        <v>495</v>
      </c>
      <c r="F34">
        <v>-20790</v>
      </c>
      <c r="G34" t="s">
        <v>481</v>
      </c>
      <c r="H34" t="s">
        <v>494</v>
      </c>
    </row>
    <row r="35" spans="1:8" x14ac:dyDescent="0.3">
      <c r="A35" s="42">
        <v>46216</v>
      </c>
      <c r="B35" s="43">
        <v>0.38902777777777781</v>
      </c>
      <c r="C35" t="s">
        <v>152</v>
      </c>
      <c r="D35" t="s">
        <v>36</v>
      </c>
      <c r="E35" t="s">
        <v>474</v>
      </c>
      <c r="F35">
        <v>-1650</v>
      </c>
      <c r="G35" t="s">
        <v>475</v>
      </c>
    </row>
    <row r="36" spans="1:8" x14ac:dyDescent="0.3">
      <c r="A36" s="42">
        <v>46216</v>
      </c>
      <c r="B36" s="43">
        <v>0.38902777777777781</v>
      </c>
      <c r="C36" t="s">
        <v>152</v>
      </c>
      <c r="D36" t="s">
        <v>36</v>
      </c>
      <c r="E36" t="s">
        <v>496</v>
      </c>
      <c r="F36">
        <v>-1550</v>
      </c>
      <c r="G36" t="s">
        <v>475</v>
      </c>
    </row>
    <row r="37" spans="1:8" x14ac:dyDescent="0.3">
      <c r="A37" s="42">
        <v>46216</v>
      </c>
      <c r="B37" s="43">
        <v>0.21506944444444451</v>
      </c>
      <c r="C37" t="s">
        <v>152</v>
      </c>
      <c r="D37" t="s">
        <v>44</v>
      </c>
      <c r="E37" t="s">
        <v>497</v>
      </c>
      <c r="F37">
        <v>-300</v>
      </c>
      <c r="G37" t="s">
        <v>498</v>
      </c>
    </row>
    <row r="38" spans="1:8" x14ac:dyDescent="0.3">
      <c r="A38" s="42">
        <v>46216</v>
      </c>
      <c r="B38" s="43">
        <v>0.1365625</v>
      </c>
      <c r="C38" t="s">
        <v>152</v>
      </c>
      <c r="D38" t="s">
        <v>37</v>
      </c>
      <c r="E38" t="s">
        <v>499</v>
      </c>
      <c r="F38">
        <v>-13501</v>
      </c>
      <c r="G38" t="s">
        <v>438</v>
      </c>
    </row>
    <row r="39" spans="1:8" x14ac:dyDescent="0.3">
      <c r="A39" s="42">
        <v>46215</v>
      </c>
      <c r="B39" s="43">
        <v>0.61304398148148154</v>
      </c>
      <c r="C39" t="s">
        <v>152</v>
      </c>
      <c r="D39" t="s">
        <v>39</v>
      </c>
      <c r="E39" t="s">
        <v>500</v>
      </c>
      <c r="F39">
        <v>-23000</v>
      </c>
      <c r="G39" t="s">
        <v>182</v>
      </c>
    </row>
    <row r="40" spans="1:8" x14ac:dyDescent="0.3">
      <c r="A40" s="42">
        <v>46215</v>
      </c>
      <c r="B40" s="43">
        <v>0.37137731481481479</v>
      </c>
      <c r="C40" t="s">
        <v>152</v>
      </c>
      <c r="D40" t="s">
        <v>36</v>
      </c>
      <c r="E40" t="s">
        <v>476</v>
      </c>
      <c r="F40">
        <v>-3100</v>
      </c>
      <c r="G40" t="s">
        <v>475</v>
      </c>
    </row>
    <row r="41" spans="1:8" x14ac:dyDescent="0.3">
      <c r="A41" s="42">
        <v>46214</v>
      </c>
      <c r="B41" s="43">
        <v>0.6875</v>
      </c>
      <c r="C41" t="s">
        <v>152</v>
      </c>
      <c r="D41" t="s">
        <v>42</v>
      </c>
      <c r="E41" t="s">
        <v>414</v>
      </c>
      <c r="F41">
        <v>-8290</v>
      </c>
      <c r="G41" t="s">
        <v>415</v>
      </c>
      <c r="H41" t="s">
        <v>501</v>
      </c>
    </row>
    <row r="42" spans="1:8" x14ac:dyDescent="0.3">
      <c r="A42" s="42">
        <v>46214</v>
      </c>
      <c r="B42" s="43">
        <v>0.47809027777777779</v>
      </c>
      <c r="C42" t="s">
        <v>152</v>
      </c>
      <c r="D42" t="s">
        <v>47</v>
      </c>
      <c r="E42" t="s">
        <v>209</v>
      </c>
      <c r="F42">
        <v>-14550</v>
      </c>
      <c r="G42" t="s">
        <v>473</v>
      </c>
    </row>
    <row r="43" spans="1:8" x14ac:dyDescent="0.3">
      <c r="A43" s="42">
        <v>46214</v>
      </c>
      <c r="B43" s="43">
        <v>0.47797453703703702</v>
      </c>
      <c r="C43" t="s">
        <v>152</v>
      </c>
      <c r="D43" t="s">
        <v>38</v>
      </c>
      <c r="E43" t="s">
        <v>502</v>
      </c>
      <c r="F43">
        <v>-14560</v>
      </c>
      <c r="G43" t="s">
        <v>182</v>
      </c>
    </row>
    <row r="44" spans="1:8" x14ac:dyDescent="0.3">
      <c r="A44" s="42">
        <v>46214</v>
      </c>
      <c r="B44" s="43">
        <v>0.36859953703703702</v>
      </c>
      <c r="C44" t="s">
        <v>152</v>
      </c>
      <c r="D44" t="s">
        <v>36</v>
      </c>
      <c r="E44" t="s">
        <v>496</v>
      </c>
      <c r="F44">
        <v>-1550</v>
      </c>
      <c r="G44" t="s">
        <v>475</v>
      </c>
    </row>
    <row r="45" spans="1:8" x14ac:dyDescent="0.3">
      <c r="A45" s="42">
        <v>46214</v>
      </c>
      <c r="B45" s="43">
        <v>3.9467592592592592E-3</v>
      </c>
      <c r="C45" t="s">
        <v>152</v>
      </c>
      <c r="D45" t="s">
        <v>36</v>
      </c>
      <c r="E45" t="s">
        <v>417</v>
      </c>
      <c r="F45">
        <v>-16300</v>
      </c>
      <c r="G45" t="s">
        <v>236</v>
      </c>
    </row>
    <row r="46" spans="1:8" x14ac:dyDescent="0.3">
      <c r="A46" s="42">
        <v>46213</v>
      </c>
      <c r="B46" s="43">
        <v>0.98592592592592587</v>
      </c>
      <c r="C46" t="s">
        <v>152</v>
      </c>
      <c r="D46" t="s">
        <v>36</v>
      </c>
      <c r="E46" t="s">
        <v>417</v>
      </c>
      <c r="F46">
        <v>-14100</v>
      </c>
      <c r="G46" t="s">
        <v>236</v>
      </c>
    </row>
    <row r="47" spans="1:8" x14ac:dyDescent="0.3">
      <c r="A47" s="42">
        <v>46213</v>
      </c>
      <c r="B47" s="43">
        <v>0.98592592592592587</v>
      </c>
      <c r="C47" t="s">
        <v>152</v>
      </c>
      <c r="D47" t="s">
        <v>36</v>
      </c>
      <c r="E47" t="s">
        <v>417</v>
      </c>
      <c r="F47">
        <v>14100</v>
      </c>
      <c r="G47" t="s">
        <v>236</v>
      </c>
    </row>
    <row r="48" spans="1:8" x14ac:dyDescent="0.3">
      <c r="A48" s="42">
        <v>46213</v>
      </c>
      <c r="B48" s="43">
        <v>0.84760416666666671</v>
      </c>
      <c r="C48" t="s">
        <v>152</v>
      </c>
      <c r="D48" t="s">
        <v>38</v>
      </c>
      <c r="E48" t="s">
        <v>503</v>
      </c>
      <c r="F48">
        <v>-7000</v>
      </c>
      <c r="G48" t="s">
        <v>473</v>
      </c>
    </row>
    <row r="49" spans="1:8" x14ac:dyDescent="0.3">
      <c r="A49" s="42">
        <v>46213</v>
      </c>
      <c r="B49" s="43">
        <v>0.78075231481481477</v>
      </c>
      <c r="C49" t="s">
        <v>152</v>
      </c>
      <c r="D49" t="s">
        <v>37</v>
      </c>
      <c r="E49" t="s">
        <v>490</v>
      </c>
      <c r="F49">
        <v>-1550</v>
      </c>
      <c r="G49" t="s">
        <v>441</v>
      </c>
    </row>
    <row r="50" spans="1:8" x14ac:dyDescent="0.3">
      <c r="A50" s="42">
        <v>46213</v>
      </c>
      <c r="B50" s="43">
        <v>0.4465277777777778</v>
      </c>
      <c r="C50" t="s">
        <v>176</v>
      </c>
      <c r="D50" t="s">
        <v>430</v>
      </c>
      <c r="E50" t="s">
        <v>482</v>
      </c>
      <c r="F50">
        <v>1792790</v>
      </c>
      <c r="G50" t="s">
        <v>438</v>
      </c>
      <c r="H50" t="s">
        <v>504</v>
      </c>
    </row>
    <row r="51" spans="1:8" x14ac:dyDescent="0.3">
      <c r="A51" s="42">
        <v>46213</v>
      </c>
      <c r="B51" s="43">
        <v>0.38505787037037043</v>
      </c>
      <c r="C51" t="s">
        <v>152</v>
      </c>
      <c r="D51" t="s">
        <v>36</v>
      </c>
      <c r="E51" t="s">
        <v>496</v>
      </c>
      <c r="F51">
        <v>-1550</v>
      </c>
      <c r="G51" t="s">
        <v>475</v>
      </c>
    </row>
    <row r="52" spans="1:8" x14ac:dyDescent="0.3">
      <c r="A52" s="42">
        <v>46212</v>
      </c>
      <c r="B52" s="43">
        <v>0.93055555555555558</v>
      </c>
      <c r="C52" t="s">
        <v>152</v>
      </c>
      <c r="D52" t="s">
        <v>48</v>
      </c>
      <c r="E52" t="s">
        <v>505</v>
      </c>
      <c r="F52">
        <v>-750000</v>
      </c>
      <c r="G52" t="s">
        <v>438</v>
      </c>
      <c r="H52" t="s">
        <v>506</v>
      </c>
    </row>
    <row r="53" spans="1:8" x14ac:dyDescent="0.3">
      <c r="A53" s="42">
        <v>46212</v>
      </c>
      <c r="B53" s="43">
        <v>0.86541666666666661</v>
      </c>
      <c r="C53" t="s">
        <v>152</v>
      </c>
      <c r="D53" t="s">
        <v>40</v>
      </c>
      <c r="E53" t="s">
        <v>507</v>
      </c>
      <c r="F53">
        <v>-1300</v>
      </c>
      <c r="G53" t="s">
        <v>473</v>
      </c>
    </row>
    <row r="54" spans="1:8" x14ac:dyDescent="0.3">
      <c r="A54" s="42">
        <v>46212</v>
      </c>
      <c r="B54" s="43">
        <v>0.65902777777777777</v>
      </c>
      <c r="C54" t="s">
        <v>152</v>
      </c>
      <c r="D54" t="s">
        <v>46</v>
      </c>
      <c r="E54" t="s">
        <v>181</v>
      </c>
      <c r="F54">
        <v>-26400</v>
      </c>
      <c r="G54" t="s">
        <v>199</v>
      </c>
      <c r="H54" t="s">
        <v>508</v>
      </c>
    </row>
    <row r="55" spans="1:8" x14ac:dyDescent="0.3">
      <c r="A55" s="42">
        <v>46212</v>
      </c>
      <c r="B55" s="43">
        <v>0.65043981481481483</v>
      </c>
      <c r="C55" t="s">
        <v>152</v>
      </c>
      <c r="D55" t="s">
        <v>45</v>
      </c>
      <c r="E55" t="s">
        <v>333</v>
      </c>
      <c r="F55">
        <v>-82900</v>
      </c>
      <c r="G55" t="s">
        <v>182</v>
      </c>
    </row>
    <row r="56" spans="1:8" x14ac:dyDescent="0.3">
      <c r="A56" s="42">
        <v>46212</v>
      </c>
      <c r="B56" s="43">
        <v>4.2372685185185187E-2</v>
      </c>
      <c r="C56" t="s">
        <v>152</v>
      </c>
      <c r="D56" t="s">
        <v>48</v>
      </c>
      <c r="E56" t="s">
        <v>311</v>
      </c>
      <c r="F56">
        <v>-104670</v>
      </c>
      <c r="G56" t="s">
        <v>473</v>
      </c>
    </row>
    <row r="57" spans="1:8" x14ac:dyDescent="0.3">
      <c r="A57" s="42">
        <v>46211</v>
      </c>
      <c r="B57" s="43">
        <v>0.73055555555555551</v>
      </c>
      <c r="C57" t="s">
        <v>152</v>
      </c>
      <c r="D57" t="s">
        <v>46</v>
      </c>
      <c r="E57" t="s">
        <v>509</v>
      </c>
      <c r="F57">
        <v>-23260</v>
      </c>
      <c r="G57" t="s">
        <v>236</v>
      </c>
      <c r="H57" t="s">
        <v>510</v>
      </c>
    </row>
    <row r="58" spans="1:8" x14ac:dyDescent="0.3">
      <c r="A58" s="42">
        <v>46211</v>
      </c>
      <c r="B58" s="43">
        <v>0.50228009259259254</v>
      </c>
      <c r="C58" t="s">
        <v>152</v>
      </c>
      <c r="D58" t="s">
        <v>49</v>
      </c>
      <c r="E58" t="s">
        <v>511</v>
      </c>
      <c r="F58">
        <v>-17400</v>
      </c>
      <c r="G58" t="s">
        <v>473</v>
      </c>
    </row>
    <row r="59" spans="1:8" x14ac:dyDescent="0.3">
      <c r="A59" s="42">
        <v>46211</v>
      </c>
      <c r="B59" s="43">
        <v>0.50035879629629632</v>
      </c>
      <c r="C59" t="s">
        <v>152</v>
      </c>
      <c r="D59" t="s">
        <v>42</v>
      </c>
      <c r="E59" t="s">
        <v>512</v>
      </c>
      <c r="F59">
        <v>-34000</v>
      </c>
      <c r="G59" t="s">
        <v>473</v>
      </c>
    </row>
    <row r="60" spans="1:8" x14ac:dyDescent="0.3">
      <c r="A60" s="42">
        <v>46210</v>
      </c>
      <c r="B60" s="43">
        <v>0.38055555555555548</v>
      </c>
      <c r="C60" t="s">
        <v>152</v>
      </c>
      <c r="D60" t="s">
        <v>42</v>
      </c>
      <c r="E60" t="s">
        <v>192</v>
      </c>
      <c r="F60">
        <v>-8810</v>
      </c>
      <c r="G60" t="s">
        <v>199</v>
      </c>
      <c r="H60" t="s">
        <v>513</v>
      </c>
    </row>
    <row r="61" spans="1:8" x14ac:dyDescent="0.3">
      <c r="A61" s="42">
        <v>46210</v>
      </c>
      <c r="B61" s="43">
        <v>0.37898148148148147</v>
      </c>
      <c r="C61" t="s">
        <v>152</v>
      </c>
      <c r="D61" t="s">
        <v>44</v>
      </c>
      <c r="E61" t="s">
        <v>159</v>
      </c>
      <c r="F61">
        <v>-2500</v>
      </c>
      <c r="G61" t="s">
        <v>481</v>
      </c>
    </row>
    <row r="62" spans="1:8" x14ac:dyDescent="0.3">
      <c r="A62" s="42">
        <v>46209</v>
      </c>
      <c r="B62" s="43">
        <v>0.78479166666666667</v>
      </c>
      <c r="C62" t="s">
        <v>152</v>
      </c>
      <c r="D62" t="s">
        <v>37</v>
      </c>
      <c r="E62" t="s">
        <v>490</v>
      </c>
      <c r="F62">
        <v>-1550</v>
      </c>
      <c r="G62" t="s">
        <v>441</v>
      </c>
    </row>
    <row r="63" spans="1:8" x14ac:dyDescent="0.3">
      <c r="A63" s="42">
        <v>46209</v>
      </c>
      <c r="B63" s="43">
        <v>0.78479166666666667</v>
      </c>
      <c r="C63" t="s">
        <v>155</v>
      </c>
      <c r="D63" t="s">
        <v>213</v>
      </c>
      <c r="E63" t="s">
        <v>491</v>
      </c>
      <c r="F63">
        <v>-1650</v>
      </c>
      <c r="G63" t="s">
        <v>441</v>
      </c>
    </row>
    <row r="64" spans="1:8" x14ac:dyDescent="0.3">
      <c r="A64" s="42">
        <v>46209</v>
      </c>
      <c r="B64" s="43">
        <v>0.78479166666666667</v>
      </c>
      <c r="C64" t="s">
        <v>152</v>
      </c>
      <c r="D64" t="s">
        <v>37</v>
      </c>
      <c r="E64" t="s">
        <v>492</v>
      </c>
      <c r="F64">
        <v>-3100</v>
      </c>
      <c r="G64" t="s">
        <v>441</v>
      </c>
    </row>
    <row r="65" spans="1:8" x14ac:dyDescent="0.3">
      <c r="A65" s="42">
        <v>46209</v>
      </c>
      <c r="B65" s="43">
        <v>0.78479166666666667</v>
      </c>
      <c r="C65" t="s">
        <v>152</v>
      </c>
      <c r="D65" t="s">
        <v>37</v>
      </c>
      <c r="E65" t="s">
        <v>514</v>
      </c>
      <c r="F65">
        <v>-5300</v>
      </c>
      <c r="G65" t="s">
        <v>441</v>
      </c>
    </row>
    <row r="66" spans="1:8" x14ac:dyDescent="0.3">
      <c r="A66" s="42">
        <v>46209</v>
      </c>
      <c r="B66" s="43">
        <v>0.7525115740740741</v>
      </c>
      <c r="C66" t="s">
        <v>152</v>
      </c>
      <c r="D66" t="s">
        <v>42</v>
      </c>
      <c r="E66" t="s">
        <v>515</v>
      </c>
      <c r="F66">
        <v>-28000</v>
      </c>
      <c r="G66" t="s">
        <v>182</v>
      </c>
    </row>
    <row r="67" spans="1:8" x14ac:dyDescent="0.3">
      <c r="A67" s="42">
        <v>46209</v>
      </c>
      <c r="B67" s="43">
        <v>0.45902777777777781</v>
      </c>
      <c r="C67" t="s">
        <v>152</v>
      </c>
      <c r="D67" t="s">
        <v>49</v>
      </c>
      <c r="E67" t="s">
        <v>479</v>
      </c>
      <c r="F67">
        <v>-3800</v>
      </c>
      <c r="G67" t="s">
        <v>473</v>
      </c>
    </row>
    <row r="68" spans="1:8" x14ac:dyDescent="0.3">
      <c r="A68" s="42">
        <v>46209</v>
      </c>
      <c r="B68" s="43">
        <v>0.45700231481481479</v>
      </c>
      <c r="C68" t="s">
        <v>152</v>
      </c>
      <c r="D68" t="s">
        <v>40</v>
      </c>
      <c r="E68" t="s">
        <v>201</v>
      </c>
      <c r="F68">
        <v>-39150</v>
      </c>
      <c r="G68" t="s">
        <v>473</v>
      </c>
    </row>
    <row r="69" spans="1:8" x14ac:dyDescent="0.3">
      <c r="A69" s="42">
        <v>46209</v>
      </c>
      <c r="B69" s="43">
        <v>0.38975694444444442</v>
      </c>
      <c r="C69" t="s">
        <v>152</v>
      </c>
      <c r="D69" t="s">
        <v>36</v>
      </c>
      <c r="E69" t="s">
        <v>474</v>
      </c>
      <c r="F69">
        <v>-1650</v>
      </c>
      <c r="G69" t="s">
        <v>475</v>
      </c>
    </row>
    <row r="70" spans="1:8" x14ac:dyDescent="0.3">
      <c r="A70" s="42">
        <v>46209</v>
      </c>
      <c r="B70" s="43">
        <v>0.38975694444444442</v>
      </c>
      <c r="C70" t="s">
        <v>152</v>
      </c>
      <c r="D70" t="s">
        <v>36</v>
      </c>
      <c r="E70" t="s">
        <v>496</v>
      </c>
      <c r="F70">
        <v>-1550</v>
      </c>
      <c r="G70" t="s">
        <v>475</v>
      </c>
    </row>
    <row r="71" spans="1:8" x14ac:dyDescent="0.3">
      <c r="A71" s="42">
        <v>46208</v>
      </c>
      <c r="B71" s="43">
        <v>0.70208333333333328</v>
      </c>
      <c r="C71" t="s">
        <v>152</v>
      </c>
      <c r="D71" t="s">
        <v>42</v>
      </c>
      <c r="E71" t="s">
        <v>412</v>
      </c>
      <c r="F71">
        <v>-37500</v>
      </c>
      <c r="G71" t="s">
        <v>473</v>
      </c>
      <c r="H71" t="s">
        <v>516</v>
      </c>
    </row>
    <row r="72" spans="1:8" x14ac:dyDescent="0.3">
      <c r="A72" s="42">
        <v>46208</v>
      </c>
      <c r="B72" s="43">
        <v>0.6479166666666667</v>
      </c>
      <c r="C72" t="s">
        <v>152</v>
      </c>
      <c r="D72" t="s">
        <v>40</v>
      </c>
      <c r="E72" t="s">
        <v>235</v>
      </c>
      <c r="F72">
        <v>-37000</v>
      </c>
      <c r="G72" t="s">
        <v>236</v>
      </c>
      <c r="H72" t="s">
        <v>517</v>
      </c>
    </row>
    <row r="73" spans="1:8" x14ac:dyDescent="0.3">
      <c r="A73" s="42">
        <v>46208</v>
      </c>
      <c r="B73" s="43">
        <v>0.52229166666666671</v>
      </c>
      <c r="C73" t="s">
        <v>152</v>
      </c>
      <c r="D73" t="s">
        <v>42</v>
      </c>
      <c r="E73" t="s">
        <v>183</v>
      </c>
      <c r="F73">
        <v>-18700</v>
      </c>
      <c r="G73" t="s">
        <v>473</v>
      </c>
    </row>
    <row r="74" spans="1:8" x14ac:dyDescent="0.3">
      <c r="A74" s="42">
        <v>46208</v>
      </c>
      <c r="B74" s="43">
        <v>0.37131944444444442</v>
      </c>
      <c r="C74" t="s">
        <v>152</v>
      </c>
      <c r="D74" t="s">
        <v>36</v>
      </c>
      <c r="E74" t="s">
        <v>476</v>
      </c>
      <c r="F74">
        <v>-3100</v>
      </c>
      <c r="G74" t="s">
        <v>475</v>
      </c>
    </row>
    <row r="75" spans="1:8" x14ac:dyDescent="0.3">
      <c r="A75" s="42">
        <v>46207</v>
      </c>
      <c r="B75" s="43">
        <v>0.5180555555555556</v>
      </c>
      <c r="C75" t="s">
        <v>152</v>
      </c>
      <c r="D75" t="s">
        <v>49</v>
      </c>
      <c r="E75" t="s">
        <v>518</v>
      </c>
      <c r="F75">
        <v>-11000</v>
      </c>
      <c r="G75" t="s">
        <v>473</v>
      </c>
      <c r="H75" t="s">
        <v>519</v>
      </c>
    </row>
    <row r="76" spans="1:8" x14ac:dyDescent="0.3">
      <c r="A76" s="42">
        <v>46207</v>
      </c>
      <c r="B76" s="43">
        <v>0.39550925925925928</v>
      </c>
      <c r="C76" t="s">
        <v>152</v>
      </c>
      <c r="D76" t="s">
        <v>49</v>
      </c>
      <c r="E76" t="s">
        <v>520</v>
      </c>
      <c r="F76">
        <v>-23500</v>
      </c>
      <c r="G76" t="s">
        <v>473</v>
      </c>
    </row>
    <row r="77" spans="1:8" x14ac:dyDescent="0.3">
      <c r="A77" s="42">
        <v>46207</v>
      </c>
      <c r="B77" s="43">
        <v>0.37365740740740738</v>
      </c>
      <c r="C77" t="s">
        <v>152</v>
      </c>
      <c r="D77" t="s">
        <v>36</v>
      </c>
      <c r="E77" t="s">
        <v>521</v>
      </c>
      <c r="F77">
        <v>-5300</v>
      </c>
      <c r="G77" t="s">
        <v>475</v>
      </c>
    </row>
    <row r="78" spans="1:8" x14ac:dyDescent="0.3">
      <c r="A78" s="42">
        <v>46206</v>
      </c>
      <c r="B78" s="43">
        <v>0.78179398148148149</v>
      </c>
      <c r="C78" t="s">
        <v>152</v>
      </c>
      <c r="D78" t="s">
        <v>37</v>
      </c>
      <c r="E78" t="s">
        <v>492</v>
      </c>
      <c r="F78">
        <v>-3100</v>
      </c>
      <c r="G78" t="s">
        <v>441</v>
      </c>
    </row>
    <row r="79" spans="1:8" x14ac:dyDescent="0.3">
      <c r="A79" s="42">
        <v>46206</v>
      </c>
      <c r="B79" s="43">
        <v>0.78179398148148149</v>
      </c>
      <c r="C79" t="s">
        <v>155</v>
      </c>
      <c r="D79" t="s">
        <v>217</v>
      </c>
      <c r="E79" t="s">
        <v>491</v>
      </c>
      <c r="F79">
        <v>-100</v>
      </c>
      <c r="G79" t="s">
        <v>441</v>
      </c>
    </row>
    <row r="80" spans="1:8" x14ac:dyDescent="0.3">
      <c r="A80" s="42">
        <v>46206</v>
      </c>
      <c r="B80" s="43">
        <v>0.69236111111111109</v>
      </c>
      <c r="C80" t="s">
        <v>152</v>
      </c>
      <c r="D80" t="s">
        <v>48</v>
      </c>
      <c r="E80" t="s">
        <v>522</v>
      </c>
      <c r="F80">
        <v>-500000</v>
      </c>
      <c r="G80" t="s">
        <v>438</v>
      </c>
      <c r="H80" t="s">
        <v>523</v>
      </c>
    </row>
    <row r="81" spans="1:8" x14ac:dyDescent="0.3">
      <c r="A81" s="42">
        <v>46206</v>
      </c>
      <c r="B81" s="43">
        <v>0.58219907407407412</v>
      </c>
      <c r="C81" t="s">
        <v>155</v>
      </c>
      <c r="D81" t="s">
        <v>155</v>
      </c>
      <c r="E81" t="s">
        <v>291</v>
      </c>
      <c r="F81">
        <v>-10000</v>
      </c>
      <c r="G81" t="s">
        <v>67</v>
      </c>
    </row>
    <row r="82" spans="1:8" x14ac:dyDescent="0.3">
      <c r="A82" s="42">
        <v>46206</v>
      </c>
      <c r="B82" s="43">
        <v>0.55430555555555561</v>
      </c>
      <c r="C82" t="s">
        <v>152</v>
      </c>
      <c r="D82" t="s">
        <v>49</v>
      </c>
      <c r="E82" t="s">
        <v>224</v>
      </c>
      <c r="F82">
        <v>-12000</v>
      </c>
      <c r="G82" t="s">
        <v>182</v>
      </c>
    </row>
    <row r="83" spans="1:8" x14ac:dyDescent="0.3">
      <c r="A83" s="42">
        <v>46206</v>
      </c>
      <c r="B83" s="43">
        <v>0.3803125</v>
      </c>
      <c r="C83" t="s">
        <v>152</v>
      </c>
      <c r="D83" t="s">
        <v>36</v>
      </c>
      <c r="E83" t="s">
        <v>474</v>
      </c>
      <c r="F83">
        <v>-100</v>
      </c>
      <c r="G83" t="s">
        <v>475</v>
      </c>
    </row>
    <row r="84" spans="1:8" x14ac:dyDescent="0.3">
      <c r="A84" s="42">
        <v>46206</v>
      </c>
      <c r="B84" s="43">
        <v>0.3803125</v>
      </c>
      <c r="C84" t="s">
        <v>152</v>
      </c>
      <c r="D84" t="s">
        <v>36</v>
      </c>
      <c r="E84" t="s">
        <v>476</v>
      </c>
      <c r="F84">
        <v>-3100</v>
      </c>
      <c r="G84" t="s">
        <v>475</v>
      </c>
    </row>
    <row r="85" spans="1:8" x14ac:dyDescent="0.3">
      <c r="A85" s="42">
        <v>46206</v>
      </c>
      <c r="B85" s="43">
        <v>0.32028935185185192</v>
      </c>
      <c r="C85" t="s">
        <v>152</v>
      </c>
      <c r="D85" t="s">
        <v>44</v>
      </c>
      <c r="E85" t="s">
        <v>159</v>
      </c>
      <c r="F85">
        <v>-952</v>
      </c>
      <c r="G85" t="s">
        <v>481</v>
      </c>
    </row>
    <row r="86" spans="1:8" x14ac:dyDescent="0.3">
      <c r="A86" s="42">
        <v>46204</v>
      </c>
      <c r="B86" s="43">
        <v>0.72361111111111109</v>
      </c>
      <c r="C86" t="s">
        <v>152</v>
      </c>
      <c r="D86" t="s">
        <v>46</v>
      </c>
      <c r="E86" t="s">
        <v>524</v>
      </c>
      <c r="F86">
        <v>-21920</v>
      </c>
      <c r="G86" t="s">
        <v>236</v>
      </c>
      <c r="H86" t="s">
        <v>525</v>
      </c>
    </row>
    <row r="87" spans="1:8" x14ac:dyDescent="0.3">
      <c r="A87" s="42">
        <v>46204</v>
      </c>
      <c r="B87" s="43">
        <v>0.65</v>
      </c>
      <c r="C87" t="s">
        <v>152</v>
      </c>
      <c r="D87" t="s">
        <v>42</v>
      </c>
      <c r="E87" t="s">
        <v>526</v>
      </c>
      <c r="F87">
        <v>-19000</v>
      </c>
      <c r="G87" t="s">
        <v>158</v>
      </c>
    </row>
    <row r="88" spans="1:8" x14ac:dyDescent="0.3">
      <c r="A88" s="42">
        <v>46204</v>
      </c>
      <c r="B88" s="43">
        <v>0.42186342592592591</v>
      </c>
      <c r="C88" t="s">
        <v>176</v>
      </c>
      <c r="D88" t="s">
        <v>29</v>
      </c>
      <c r="E88" t="s">
        <v>527</v>
      </c>
      <c r="F88">
        <v>77100</v>
      </c>
      <c r="G88" t="s">
        <v>438</v>
      </c>
    </row>
    <row r="89" spans="1:8" x14ac:dyDescent="0.3">
      <c r="A89" s="42">
        <v>46204</v>
      </c>
      <c r="B89" s="43">
        <v>0.20193287037037039</v>
      </c>
      <c r="C89" t="s">
        <v>176</v>
      </c>
      <c r="D89" t="s">
        <v>28</v>
      </c>
      <c r="E89" t="s">
        <v>528</v>
      </c>
      <c r="F89">
        <v>312</v>
      </c>
      <c r="G89" t="s">
        <v>441</v>
      </c>
    </row>
    <row r="90" spans="1:8" x14ac:dyDescent="0.3">
      <c r="A90" s="42">
        <v>46203</v>
      </c>
      <c r="B90" s="43">
        <v>0.78998842592592589</v>
      </c>
      <c r="C90" t="s">
        <v>152</v>
      </c>
      <c r="D90" t="s">
        <v>37</v>
      </c>
      <c r="E90" t="s">
        <v>492</v>
      </c>
      <c r="F90">
        <v>-3100</v>
      </c>
      <c r="G90" t="s">
        <v>441</v>
      </c>
    </row>
    <row r="91" spans="1:8" x14ac:dyDescent="0.3">
      <c r="A91" s="42">
        <v>46203</v>
      </c>
      <c r="B91" s="43">
        <v>0.76033564814814814</v>
      </c>
      <c r="C91" t="s">
        <v>155</v>
      </c>
      <c r="D91" t="s">
        <v>155</v>
      </c>
      <c r="E91" t="s">
        <v>420</v>
      </c>
      <c r="F91">
        <v>74000</v>
      </c>
      <c r="G91" t="s">
        <v>158</v>
      </c>
    </row>
    <row r="92" spans="1:8" x14ac:dyDescent="0.3">
      <c r="A92" s="42">
        <v>46203</v>
      </c>
      <c r="B92" s="43">
        <v>0.55813657407407402</v>
      </c>
      <c r="C92" t="s">
        <v>152</v>
      </c>
      <c r="D92" t="s">
        <v>38</v>
      </c>
      <c r="E92" t="s">
        <v>529</v>
      </c>
      <c r="F92">
        <v>-148000</v>
      </c>
      <c r="G92" t="s">
        <v>481</v>
      </c>
    </row>
    <row r="93" spans="1:8" x14ac:dyDescent="0.3">
      <c r="A93" s="42">
        <v>46203</v>
      </c>
      <c r="B93" s="43">
        <v>0.43192129629629628</v>
      </c>
      <c r="C93" t="s">
        <v>152</v>
      </c>
      <c r="D93" t="s">
        <v>36</v>
      </c>
      <c r="E93" t="s">
        <v>476</v>
      </c>
      <c r="F93">
        <v>-3100</v>
      </c>
      <c r="G93" t="s">
        <v>475</v>
      </c>
    </row>
    <row r="94" spans="1:8" x14ac:dyDescent="0.3">
      <c r="A94" s="42">
        <v>46202</v>
      </c>
      <c r="B94" s="43">
        <v>0.78478009259259263</v>
      </c>
      <c r="C94" t="s">
        <v>152</v>
      </c>
      <c r="D94" t="s">
        <v>37</v>
      </c>
      <c r="E94" t="s">
        <v>492</v>
      </c>
      <c r="F94">
        <v>-3100</v>
      </c>
      <c r="G94" t="s">
        <v>441</v>
      </c>
    </row>
    <row r="95" spans="1:8" x14ac:dyDescent="0.3">
      <c r="A95" s="42">
        <v>46202</v>
      </c>
      <c r="B95" s="43">
        <v>0.78478009259259263</v>
      </c>
      <c r="C95" t="s">
        <v>155</v>
      </c>
      <c r="D95" t="s">
        <v>213</v>
      </c>
      <c r="E95" t="s">
        <v>485</v>
      </c>
      <c r="F95">
        <v>-1750</v>
      </c>
      <c r="G95" t="s">
        <v>441</v>
      </c>
    </row>
    <row r="96" spans="1:8" x14ac:dyDescent="0.3">
      <c r="A96" s="42">
        <v>46202</v>
      </c>
      <c r="B96" s="43">
        <v>0.78478009259259263</v>
      </c>
      <c r="C96" t="s">
        <v>152</v>
      </c>
      <c r="D96" t="s">
        <v>37</v>
      </c>
      <c r="E96" t="s">
        <v>490</v>
      </c>
      <c r="F96">
        <v>-1550</v>
      </c>
      <c r="G96" t="s">
        <v>441</v>
      </c>
    </row>
    <row r="97" spans="1:7" x14ac:dyDescent="0.3">
      <c r="A97" s="42">
        <v>46202</v>
      </c>
      <c r="B97" s="43">
        <v>0.78478009259259263</v>
      </c>
      <c r="C97" t="s">
        <v>152</v>
      </c>
      <c r="D97" t="s">
        <v>37</v>
      </c>
      <c r="E97" t="s">
        <v>492</v>
      </c>
      <c r="F97">
        <v>-3100</v>
      </c>
      <c r="G97" t="s">
        <v>441</v>
      </c>
    </row>
    <row r="98" spans="1:7" x14ac:dyDescent="0.3">
      <c r="A98" s="42">
        <v>46202</v>
      </c>
      <c r="B98" s="43">
        <v>0.69219907407407411</v>
      </c>
      <c r="C98" t="s">
        <v>152</v>
      </c>
      <c r="D98" t="s">
        <v>40</v>
      </c>
      <c r="E98" t="s">
        <v>530</v>
      </c>
      <c r="F98">
        <v>-10000</v>
      </c>
      <c r="G98" t="s">
        <v>473</v>
      </c>
    </row>
    <row r="99" spans="1:7" x14ac:dyDescent="0.3">
      <c r="A99" s="42">
        <v>46202</v>
      </c>
      <c r="B99" s="43">
        <v>0.6068634259259259</v>
      </c>
      <c r="C99" t="s">
        <v>152</v>
      </c>
      <c r="D99" t="s">
        <v>49</v>
      </c>
      <c r="E99" t="s">
        <v>531</v>
      </c>
      <c r="F99">
        <v>-11000</v>
      </c>
      <c r="G99" t="s">
        <v>473</v>
      </c>
    </row>
    <row r="100" spans="1:7" x14ac:dyDescent="0.3">
      <c r="A100" s="42">
        <v>46202</v>
      </c>
      <c r="B100" s="43">
        <v>0.60256944444444449</v>
      </c>
      <c r="C100" t="s">
        <v>152</v>
      </c>
      <c r="D100" t="s">
        <v>46</v>
      </c>
      <c r="E100" t="s">
        <v>532</v>
      </c>
      <c r="F100">
        <v>-515000</v>
      </c>
      <c r="G100" t="s">
        <v>533</v>
      </c>
    </row>
    <row r="101" spans="1:7" x14ac:dyDescent="0.3">
      <c r="A101" s="42">
        <v>46202</v>
      </c>
      <c r="B101" s="43">
        <v>0.38822916666666668</v>
      </c>
      <c r="C101" t="s">
        <v>152</v>
      </c>
      <c r="D101" t="s">
        <v>36</v>
      </c>
      <c r="E101" t="s">
        <v>476</v>
      </c>
      <c r="F101">
        <v>-3100</v>
      </c>
      <c r="G101" t="s">
        <v>475</v>
      </c>
    </row>
    <row r="102" spans="1:7" x14ac:dyDescent="0.3">
      <c r="A102" s="42">
        <v>46201</v>
      </c>
      <c r="B102" s="43">
        <v>0.67440972222222217</v>
      </c>
      <c r="C102" t="s">
        <v>152</v>
      </c>
      <c r="D102" t="s">
        <v>49</v>
      </c>
      <c r="E102" t="s">
        <v>424</v>
      </c>
      <c r="F102">
        <v>-2000</v>
      </c>
      <c r="G102" t="s">
        <v>473</v>
      </c>
    </row>
    <row r="103" spans="1:7" x14ac:dyDescent="0.3">
      <c r="A103" s="42">
        <v>46201</v>
      </c>
      <c r="B103" s="43">
        <v>0.4659490740740741</v>
      </c>
      <c r="C103" t="s">
        <v>152</v>
      </c>
      <c r="D103" t="s">
        <v>49</v>
      </c>
      <c r="E103" t="s">
        <v>534</v>
      </c>
      <c r="F103">
        <v>-6100</v>
      </c>
      <c r="G103" t="s">
        <v>473</v>
      </c>
    </row>
    <row r="104" spans="1:7" x14ac:dyDescent="0.3">
      <c r="A104" s="42">
        <v>46201</v>
      </c>
      <c r="B104" s="43">
        <v>0.43182870370370369</v>
      </c>
      <c r="C104" t="s">
        <v>155</v>
      </c>
      <c r="D104" t="s">
        <v>156</v>
      </c>
      <c r="E104" t="s">
        <v>234</v>
      </c>
      <c r="F104">
        <v>0</v>
      </c>
      <c r="G104" t="s">
        <v>439</v>
      </c>
    </row>
    <row r="105" spans="1:7" x14ac:dyDescent="0.3">
      <c r="A105" s="42">
        <v>46201</v>
      </c>
      <c r="B105" s="43">
        <v>0.42894675925925918</v>
      </c>
      <c r="C105" t="s">
        <v>155</v>
      </c>
      <c r="D105" t="s">
        <v>535</v>
      </c>
      <c r="E105" t="s">
        <v>536</v>
      </c>
      <c r="F105">
        <v>0</v>
      </c>
      <c r="G105" t="s">
        <v>438</v>
      </c>
    </row>
    <row r="106" spans="1:7" x14ac:dyDescent="0.3">
      <c r="A106" s="42">
        <v>46201</v>
      </c>
      <c r="B106" s="43">
        <v>0.37722222222222218</v>
      </c>
      <c r="C106" t="s">
        <v>152</v>
      </c>
      <c r="D106" t="s">
        <v>36</v>
      </c>
      <c r="E106" t="s">
        <v>488</v>
      </c>
      <c r="F106">
        <v>-1750</v>
      </c>
      <c r="G106" t="s">
        <v>475</v>
      </c>
    </row>
    <row r="107" spans="1:7" x14ac:dyDescent="0.3">
      <c r="A107" s="42">
        <v>46201</v>
      </c>
      <c r="B107" s="43">
        <v>0.37722222222222218</v>
      </c>
      <c r="C107" t="s">
        <v>152</v>
      </c>
      <c r="D107" t="s">
        <v>36</v>
      </c>
      <c r="E107" t="s">
        <v>496</v>
      </c>
      <c r="F107">
        <v>-1550</v>
      </c>
      <c r="G107" t="s">
        <v>475</v>
      </c>
    </row>
    <row r="108" spans="1:7" x14ac:dyDescent="0.3">
      <c r="A108" s="42">
        <v>46200</v>
      </c>
      <c r="B108" s="43">
        <v>0.82826388888888891</v>
      </c>
      <c r="C108" t="s">
        <v>152</v>
      </c>
      <c r="D108" t="s">
        <v>40</v>
      </c>
      <c r="E108" t="s">
        <v>537</v>
      </c>
      <c r="F108">
        <v>-3490</v>
      </c>
      <c r="G108" t="s">
        <v>473</v>
      </c>
    </row>
    <row r="109" spans="1:7" x14ac:dyDescent="0.3">
      <c r="A109" s="42">
        <v>46200</v>
      </c>
      <c r="B109" s="43">
        <v>0.82078703703703704</v>
      </c>
      <c r="C109" t="s">
        <v>152</v>
      </c>
      <c r="D109" t="s">
        <v>39</v>
      </c>
      <c r="E109" t="s">
        <v>538</v>
      </c>
      <c r="F109">
        <v>-37800</v>
      </c>
      <c r="G109" t="s">
        <v>473</v>
      </c>
    </row>
    <row r="110" spans="1:7" x14ac:dyDescent="0.3">
      <c r="A110" s="42">
        <v>46200</v>
      </c>
      <c r="B110" s="43">
        <v>0.81098379629629624</v>
      </c>
      <c r="C110" t="s">
        <v>152</v>
      </c>
      <c r="D110" t="s">
        <v>41</v>
      </c>
      <c r="E110" t="s">
        <v>539</v>
      </c>
      <c r="F110">
        <v>-13600</v>
      </c>
      <c r="G110" t="s">
        <v>473</v>
      </c>
    </row>
    <row r="111" spans="1:7" x14ac:dyDescent="0.3">
      <c r="A111" s="42">
        <v>46200</v>
      </c>
      <c r="B111" s="43">
        <v>0.76010416666666669</v>
      </c>
      <c r="C111" t="s">
        <v>155</v>
      </c>
      <c r="D111" t="s">
        <v>155</v>
      </c>
      <c r="E111" t="s">
        <v>540</v>
      </c>
      <c r="F111">
        <v>-8000</v>
      </c>
      <c r="G111" t="s">
        <v>67</v>
      </c>
    </row>
    <row r="112" spans="1:7" x14ac:dyDescent="0.3">
      <c r="A112" s="42">
        <v>46200</v>
      </c>
      <c r="B112" s="43">
        <v>0.57452546296296292</v>
      </c>
      <c r="C112" t="s">
        <v>152</v>
      </c>
      <c r="D112" t="s">
        <v>37</v>
      </c>
      <c r="E112" t="s">
        <v>541</v>
      </c>
      <c r="F112">
        <v>-700</v>
      </c>
      <c r="G112" t="s">
        <v>481</v>
      </c>
    </row>
    <row r="113" spans="1:7" x14ac:dyDescent="0.3">
      <c r="A113" s="42">
        <v>46200</v>
      </c>
      <c r="B113" s="43">
        <v>0.47008101851851852</v>
      </c>
      <c r="C113" t="s">
        <v>152</v>
      </c>
      <c r="D113" t="s">
        <v>45</v>
      </c>
      <c r="E113" t="s">
        <v>333</v>
      </c>
      <c r="F113">
        <v>-83500</v>
      </c>
      <c r="G113" t="s">
        <v>182</v>
      </c>
    </row>
    <row r="114" spans="1:7" x14ac:dyDescent="0.3">
      <c r="A114" s="42">
        <v>46200</v>
      </c>
      <c r="B114" s="43">
        <v>0.46843750000000001</v>
      </c>
      <c r="C114" t="s">
        <v>152</v>
      </c>
      <c r="D114" t="s">
        <v>45</v>
      </c>
      <c r="E114" t="s">
        <v>405</v>
      </c>
      <c r="F114">
        <v>-10000</v>
      </c>
      <c r="G114" t="s">
        <v>182</v>
      </c>
    </row>
    <row r="115" spans="1:7" x14ac:dyDescent="0.3">
      <c r="A115" s="42">
        <v>46200</v>
      </c>
      <c r="B115" s="43">
        <v>0.46471064814814822</v>
      </c>
      <c r="C115" t="s">
        <v>152</v>
      </c>
      <c r="D115" t="s">
        <v>40</v>
      </c>
      <c r="E115" t="s">
        <v>542</v>
      </c>
      <c r="F115">
        <v>-36390</v>
      </c>
      <c r="G115" t="s">
        <v>498</v>
      </c>
    </row>
    <row r="116" spans="1:7" x14ac:dyDescent="0.3">
      <c r="A116" s="42">
        <v>46200</v>
      </c>
      <c r="B116" s="43">
        <v>0.37774305555555548</v>
      </c>
      <c r="C116" t="s">
        <v>152</v>
      </c>
      <c r="D116" t="s">
        <v>36</v>
      </c>
      <c r="E116" t="s">
        <v>476</v>
      </c>
      <c r="F116">
        <v>-3100</v>
      </c>
      <c r="G116" t="s">
        <v>475</v>
      </c>
    </row>
    <row r="117" spans="1:7" x14ac:dyDescent="0.3">
      <c r="A117" s="42">
        <v>46200</v>
      </c>
      <c r="B117" s="43">
        <v>0.32939814814814822</v>
      </c>
      <c r="C117" t="s">
        <v>176</v>
      </c>
      <c r="D117" t="s">
        <v>28</v>
      </c>
      <c r="E117" t="s">
        <v>543</v>
      </c>
      <c r="F117">
        <v>0</v>
      </c>
      <c r="G117" t="s">
        <v>439</v>
      </c>
    </row>
    <row r="118" spans="1:7" x14ac:dyDescent="0.3">
      <c r="A118" s="42">
        <v>46200</v>
      </c>
      <c r="B118" s="43">
        <v>0.21482638888888889</v>
      </c>
      <c r="C118" t="s">
        <v>176</v>
      </c>
      <c r="D118" t="s">
        <v>28</v>
      </c>
      <c r="E118" t="s">
        <v>240</v>
      </c>
      <c r="F118">
        <v>86</v>
      </c>
      <c r="G118" t="s">
        <v>67</v>
      </c>
    </row>
    <row r="119" spans="1:7" x14ac:dyDescent="0.3">
      <c r="A119" s="42">
        <v>46200</v>
      </c>
      <c r="B119" s="43">
        <v>0.2134375</v>
      </c>
      <c r="C119" t="s">
        <v>176</v>
      </c>
      <c r="D119" t="s">
        <v>28</v>
      </c>
      <c r="E119" t="s">
        <v>240</v>
      </c>
      <c r="F119">
        <v>79</v>
      </c>
      <c r="G119" t="s">
        <v>67</v>
      </c>
    </row>
    <row r="120" spans="1:7" x14ac:dyDescent="0.3">
      <c r="A120" s="42">
        <v>46200</v>
      </c>
      <c r="B120" s="43">
        <v>0.16701388888888891</v>
      </c>
      <c r="C120" t="s">
        <v>176</v>
      </c>
      <c r="D120" t="s">
        <v>28</v>
      </c>
      <c r="E120" t="s">
        <v>240</v>
      </c>
      <c r="F120">
        <v>131</v>
      </c>
      <c r="G120" t="s">
        <v>67</v>
      </c>
    </row>
    <row r="121" spans="1:7" x14ac:dyDescent="0.3">
      <c r="A121" s="42">
        <v>46200</v>
      </c>
      <c r="B121" s="43">
        <v>0.14197916666666671</v>
      </c>
      <c r="C121" t="s">
        <v>176</v>
      </c>
      <c r="D121" t="s">
        <v>28</v>
      </c>
      <c r="E121" t="s">
        <v>241</v>
      </c>
      <c r="F121">
        <v>0</v>
      </c>
      <c r="G121" t="s">
        <v>63</v>
      </c>
    </row>
    <row r="122" spans="1:7" x14ac:dyDescent="0.3">
      <c r="A122" s="42">
        <v>46200</v>
      </c>
      <c r="B122" s="43">
        <v>0.13538194444444451</v>
      </c>
      <c r="C122" t="s">
        <v>176</v>
      </c>
      <c r="D122" t="s">
        <v>28</v>
      </c>
      <c r="E122" t="s">
        <v>240</v>
      </c>
      <c r="F122">
        <v>549</v>
      </c>
      <c r="G122" t="s">
        <v>67</v>
      </c>
    </row>
    <row r="123" spans="1:7" x14ac:dyDescent="0.3">
      <c r="A123" s="42">
        <v>46200</v>
      </c>
      <c r="B123" s="43">
        <v>0.1202430555555556</v>
      </c>
      <c r="C123" t="s">
        <v>155</v>
      </c>
      <c r="D123" t="s">
        <v>217</v>
      </c>
      <c r="E123" t="s">
        <v>544</v>
      </c>
      <c r="F123">
        <v>2</v>
      </c>
      <c r="G123" t="s">
        <v>436</v>
      </c>
    </row>
    <row r="124" spans="1:7" x14ac:dyDescent="0.3">
      <c r="A124" s="42">
        <v>46200</v>
      </c>
      <c r="B124" s="43">
        <v>8.5451388888888882E-2</v>
      </c>
      <c r="C124" t="s">
        <v>155</v>
      </c>
      <c r="D124" t="s">
        <v>217</v>
      </c>
      <c r="E124" t="s">
        <v>242</v>
      </c>
      <c r="F124">
        <v>327</v>
      </c>
      <c r="G124" t="s">
        <v>68</v>
      </c>
    </row>
    <row r="125" spans="1:7" x14ac:dyDescent="0.3">
      <c r="A125" s="42">
        <v>46199</v>
      </c>
      <c r="B125" s="43">
        <v>0.78099537037037037</v>
      </c>
      <c r="C125" t="s">
        <v>155</v>
      </c>
      <c r="D125" t="s">
        <v>213</v>
      </c>
      <c r="E125" t="s">
        <v>491</v>
      </c>
      <c r="F125">
        <v>-1650</v>
      </c>
      <c r="G125" t="s">
        <v>441</v>
      </c>
    </row>
    <row r="126" spans="1:7" x14ac:dyDescent="0.3">
      <c r="A126" s="42">
        <v>46199</v>
      </c>
      <c r="B126" s="43">
        <v>0.70466435185185183</v>
      </c>
      <c r="C126" t="s">
        <v>155</v>
      </c>
      <c r="D126" t="s">
        <v>155</v>
      </c>
      <c r="E126" t="s">
        <v>545</v>
      </c>
      <c r="F126">
        <v>-450000</v>
      </c>
      <c r="G126" t="s">
        <v>67</v>
      </c>
    </row>
    <row r="127" spans="1:7" x14ac:dyDescent="0.3">
      <c r="A127" s="42">
        <v>46199</v>
      </c>
      <c r="B127" s="43">
        <v>0.70402777777777781</v>
      </c>
      <c r="C127" t="s">
        <v>155</v>
      </c>
      <c r="D127" t="s">
        <v>163</v>
      </c>
      <c r="E127" t="s">
        <v>546</v>
      </c>
      <c r="F127">
        <v>450000</v>
      </c>
      <c r="G127" t="s">
        <v>67</v>
      </c>
    </row>
    <row r="128" spans="1:7" x14ac:dyDescent="0.3">
      <c r="A128" s="42">
        <v>46199</v>
      </c>
      <c r="B128" s="43">
        <v>0.70402777777777781</v>
      </c>
      <c r="C128" t="s">
        <v>155</v>
      </c>
      <c r="D128" t="s">
        <v>163</v>
      </c>
      <c r="E128" t="s">
        <v>277</v>
      </c>
      <c r="F128">
        <v>-450000</v>
      </c>
      <c r="G128" t="s">
        <v>67</v>
      </c>
    </row>
    <row r="129" spans="1:7" x14ac:dyDescent="0.3">
      <c r="A129" s="42">
        <v>46199</v>
      </c>
      <c r="B129" s="43">
        <v>0.59704861111111107</v>
      </c>
      <c r="C129" t="s">
        <v>152</v>
      </c>
      <c r="D129" t="s">
        <v>37</v>
      </c>
      <c r="E129" t="s">
        <v>547</v>
      </c>
      <c r="F129">
        <v>-74915</v>
      </c>
      <c r="G129" t="s">
        <v>473</v>
      </c>
    </row>
    <row r="130" spans="1:7" x14ac:dyDescent="0.3">
      <c r="A130" s="42">
        <v>46199</v>
      </c>
      <c r="B130" s="43">
        <v>0.50192129629629634</v>
      </c>
      <c r="C130" t="s">
        <v>152</v>
      </c>
      <c r="D130" t="s">
        <v>42</v>
      </c>
      <c r="E130" t="s">
        <v>548</v>
      </c>
      <c r="F130">
        <v>-8000</v>
      </c>
      <c r="G130" t="s">
        <v>473</v>
      </c>
    </row>
    <row r="131" spans="1:7" x14ac:dyDescent="0.3">
      <c r="A131" s="42">
        <v>46199</v>
      </c>
      <c r="B131" s="43">
        <v>0.43574074074074082</v>
      </c>
      <c r="C131" t="s">
        <v>155</v>
      </c>
      <c r="D131" t="s">
        <v>155</v>
      </c>
      <c r="E131" t="s">
        <v>549</v>
      </c>
      <c r="F131">
        <v>-10000</v>
      </c>
      <c r="G131" t="s">
        <v>67</v>
      </c>
    </row>
    <row r="132" spans="1:7" x14ac:dyDescent="0.3">
      <c r="A132" s="42">
        <v>46199</v>
      </c>
      <c r="B132" s="43">
        <v>0.42666666666666669</v>
      </c>
      <c r="C132" t="s">
        <v>152</v>
      </c>
      <c r="D132" t="s">
        <v>40</v>
      </c>
      <c r="E132" t="s">
        <v>201</v>
      </c>
      <c r="F132">
        <v>-17600</v>
      </c>
      <c r="G132" t="s">
        <v>473</v>
      </c>
    </row>
    <row r="133" spans="1:7" x14ac:dyDescent="0.3">
      <c r="A133" s="42">
        <v>46199</v>
      </c>
      <c r="B133" s="43">
        <v>0.39077546296296289</v>
      </c>
      <c r="C133" t="s">
        <v>152</v>
      </c>
      <c r="D133" t="s">
        <v>36</v>
      </c>
      <c r="E133" t="s">
        <v>474</v>
      </c>
      <c r="F133">
        <v>-1650</v>
      </c>
      <c r="G133" t="s">
        <v>475</v>
      </c>
    </row>
    <row r="134" spans="1:7" x14ac:dyDescent="0.3">
      <c r="A134" s="42">
        <v>46199</v>
      </c>
      <c r="B134" s="43">
        <v>0.30469907407407409</v>
      </c>
      <c r="C134" t="s">
        <v>152</v>
      </c>
      <c r="D134" t="s">
        <v>44</v>
      </c>
      <c r="E134" t="s">
        <v>383</v>
      </c>
      <c r="F134">
        <v>-35700</v>
      </c>
      <c r="G134" t="s">
        <v>236</v>
      </c>
    </row>
    <row r="135" spans="1:7" x14ac:dyDescent="0.3">
      <c r="A135" s="42">
        <v>46198</v>
      </c>
      <c r="B135" s="43">
        <v>0.84827546296296297</v>
      </c>
      <c r="C135" t="s">
        <v>155</v>
      </c>
      <c r="D135" t="s">
        <v>155</v>
      </c>
      <c r="E135" t="s">
        <v>550</v>
      </c>
      <c r="F135">
        <v>-240000</v>
      </c>
      <c r="G135" t="s">
        <v>67</v>
      </c>
    </row>
    <row r="136" spans="1:7" x14ac:dyDescent="0.3">
      <c r="A136" s="42">
        <v>46198</v>
      </c>
      <c r="B136" s="43">
        <v>0.52545138888888887</v>
      </c>
      <c r="C136" t="s">
        <v>152</v>
      </c>
      <c r="D136" t="s">
        <v>49</v>
      </c>
      <c r="E136" t="s">
        <v>551</v>
      </c>
      <c r="F136">
        <v>-13500</v>
      </c>
      <c r="G136" t="s">
        <v>473</v>
      </c>
    </row>
    <row r="137" spans="1:7" x14ac:dyDescent="0.3">
      <c r="A137" s="42">
        <v>46198</v>
      </c>
      <c r="B137" s="43">
        <v>0.45577546296296301</v>
      </c>
      <c r="C137" t="s">
        <v>155</v>
      </c>
      <c r="D137" t="s">
        <v>292</v>
      </c>
      <c r="E137" t="s">
        <v>552</v>
      </c>
      <c r="F137">
        <v>2000</v>
      </c>
      <c r="G137" t="s">
        <v>441</v>
      </c>
    </row>
    <row r="138" spans="1:7" x14ac:dyDescent="0.3">
      <c r="A138" s="42">
        <v>46198</v>
      </c>
      <c r="B138" s="43">
        <v>0.4239236111111111</v>
      </c>
      <c r="C138" t="s">
        <v>155</v>
      </c>
      <c r="D138" t="s">
        <v>217</v>
      </c>
      <c r="E138" t="s">
        <v>482</v>
      </c>
      <c r="F138">
        <v>50000</v>
      </c>
      <c r="G138" t="s">
        <v>438</v>
      </c>
    </row>
    <row r="139" spans="1:7" x14ac:dyDescent="0.3">
      <c r="A139" s="42">
        <v>46198</v>
      </c>
      <c r="B139" s="43">
        <v>0.30614583333333328</v>
      </c>
      <c r="C139" t="s">
        <v>176</v>
      </c>
      <c r="D139" t="s">
        <v>30</v>
      </c>
      <c r="E139" t="s">
        <v>553</v>
      </c>
      <c r="F139">
        <v>31600</v>
      </c>
      <c r="G139" t="s">
        <v>441</v>
      </c>
    </row>
    <row r="140" spans="1:7" x14ac:dyDescent="0.3">
      <c r="A140" s="42">
        <v>46197</v>
      </c>
      <c r="B140" s="43">
        <v>4.2372685185185187E-2</v>
      </c>
      <c r="C140" t="s">
        <v>152</v>
      </c>
      <c r="D140" t="s">
        <v>48</v>
      </c>
      <c r="E140" t="s">
        <v>251</v>
      </c>
      <c r="F140">
        <v>-300</v>
      </c>
      <c r="G140" t="s">
        <v>473</v>
      </c>
    </row>
    <row r="141" spans="1:7" x14ac:dyDescent="0.3">
      <c r="A141" s="42">
        <v>46196</v>
      </c>
      <c r="B141" s="43">
        <v>0.85009259259259262</v>
      </c>
      <c r="C141" t="s">
        <v>155</v>
      </c>
      <c r="D141" t="s">
        <v>155</v>
      </c>
      <c r="E141" t="s">
        <v>291</v>
      </c>
      <c r="F141">
        <v>-245690</v>
      </c>
      <c r="G141" t="s">
        <v>67</v>
      </c>
    </row>
    <row r="142" spans="1:7" x14ac:dyDescent="0.3">
      <c r="A142" s="42">
        <v>46196</v>
      </c>
      <c r="B142" s="43">
        <v>0.67069444444444448</v>
      </c>
      <c r="C142" t="s">
        <v>152</v>
      </c>
      <c r="D142" t="s">
        <v>48</v>
      </c>
      <c r="E142" t="s">
        <v>554</v>
      </c>
      <c r="F142">
        <v>-3600</v>
      </c>
      <c r="G142" t="s">
        <v>473</v>
      </c>
    </row>
    <row r="143" spans="1:7" x14ac:dyDescent="0.3">
      <c r="A143" s="42">
        <v>46196</v>
      </c>
      <c r="B143" s="43">
        <v>0.5582407407407407</v>
      </c>
      <c r="C143" t="s">
        <v>155</v>
      </c>
      <c r="D143" t="s">
        <v>155</v>
      </c>
      <c r="E143" t="s">
        <v>555</v>
      </c>
      <c r="F143">
        <v>26000</v>
      </c>
      <c r="G143" t="s">
        <v>158</v>
      </c>
    </row>
    <row r="144" spans="1:7" x14ac:dyDescent="0.3">
      <c r="A144" s="42">
        <v>46196</v>
      </c>
      <c r="B144" s="43">
        <v>0.505</v>
      </c>
      <c r="C144" t="s">
        <v>155</v>
      </c>
      <c r="D144" t="s">
        <v>155</v>
      </c>
      <c r="E144" t="s">
        <v>418</v>
      </c>
      <c r="F144">
        <v>-100000</v>
      </c>
      <c r="G144" t="s">
        <v>158</v>
      </c>
    </row>
    <row r="145" spans="1:7" x14ac:dyDescent="0.3">
      <c r="A145" s="42">
        <v>46195</v>
      </c>
      <c r="B145" s="43">
        <v>0.78422453703703698</v>
      </c>
      <c r="C145" t="s">
        <v>152</v>
      </c>
      <c r="D145" t="s">
        <v>37</v>
      </c>
      <c r="E145" t="s">
        <v>492</v>
      </c>
      <c r="F145">
        <v>-3100</v>
      </c>
      <c r="G145" t="s">
        <v>441</v>
      </c>
    </row>
    <row r="146" spans="1:7" x14ac:dyDescent="0.3">
      <c r="A146" s="42">
        <v>46195</v>
      </c>
      <c r="B146" s="43">
        <v>0.78421296296296295</v>
      </c>
      <c r="C146" t="s">
        <v>152</v>
      </c>
      <c r="D146" t="s">
        <v>37</v>
      </c>
      <c r="E146" t="s">
        <v>492</v>
      </c>
      <c r="F146">
        <v>-3100</v>
      </c>
      <c r="G146" t="s">
        <v>441</v>
      </c>
    </row>
    <row r="147" spans="1:7" x14ac:dyDescent="0.3">
      <c r="A147" s="42">
        <v>46195</v>
      </c>
      <c r="B147" s="43">
        <v>0.78421296296296295</v>
      </c>
      <c r="C147" t="s">
        <v>152</v>
      </c>
      <c r="D147" t="s">
        <v>37</v>
      </c>
      <c r="E147" t="s">
        <v>556</v>
      </c>
      <c r="F147">
        <v>-3150</v>
      </c>
      <c r="G147" t="s">
        <v>441</v>
      </c>
    </row>
    <row r="148" spans="1:7" x14ac:dyDescent="0.3">
      <c r="A148" s="42">
        <v>46195</v>
      </c>
      <c r="B148" s="43">
        <v>0.38886574074074082</v>
      </c>
      <c r="C148" t="s">
        <v>155</v>
      </c>
      <c r="D148" t="s">
        <v>292</v>
      </c>
      <c r="E148" t="s">
        <v>557</v>
      </c>
      <c r="F148">
        <v>294700</v>
      </c>
      <c r="G148" t="s">
        <v>438</v>
      </c>
    </row>
    <row r="149" spans="1:7" x14ac:dyDescent="0.3">
      <c r="A149" s="42">
        <v>46195</v>
      </c>
      <c r="B149" s="43">
        <v>0.38071759259259258</v>
      </c>
      <c r="C149" t="s">
        <v>152</v>
      </c>
      <c r="D149" t="s">
        <v>36</v>
      </c>
      <c r="E149" t="s">
        <v>476</v>
      </c>
      <c r="F149">
        <v>-3100</v>
      </c>
      <c r="G149" t="s">
        <v>475</v>
      </c>
    </row>
    <row r="150" spans="1:7" x14ac:dyDescent="0.3">
      <c r="A150" s="42">
        <v>46195</v>
      </c>
      <c r="B150" s="43">
        <v>0.3399652777777778</v>
      </c>
      <c r="C150" t="s">
        <v>152</v>
      </c>
      <c r="D150" t="s">
        <v>37</v>
      </c>
      <c r="E150" t="s">
        <v>558</v>
      </c>
      <c r="F150">
        <v>-14500</v>
      </c>
      <c r="G150" t="s">
        <v>473</v>
      </c>
    </row>
    <row r="151" spans="1:7" x14ac:dyDescent="0.3">
      <c r="A151" s="42">
        <v>46195</v>
      </c>
      <c r="B151" s="43">
        <v>0.33938657407407408</v>
      </c>
      <c r="C151" t="s">
        <v>152</v>
      </c>
      <c r="D151" t="s">
        <v>37</v>
      </c>
      <c r="E151" t="s">
        <v>558</v>
      </c>
      <c r="F151">
        <v>-50620</v>
      </c>
      <c r="G151" t="s">
        <v>473</v>
      </c>
    </row>
    <row r="152" spans="1:7" x14ac:dyDescent="0.3">
      <c r="A152" s="42">
        <v>46195</v>
      </c>
      <c r="B152" s="43">
        <v>0.29533564814814822</v>
      </c>
      <c r="C152" t="s">
        <v>155</v>
      </c>
      <c r="D152" t="s">
        <v>155</v>
      </c>
      <c r="E152" t="s">
        <v>559</v>
      </c>
      <c r="F152">
        <v>400000</v>
      </c>
      <c r="G152" t="s">
        <v>438</v>
      </c>
    </row>
    <row r="153" spans="1:7" x14ac:dyDescent="0.3">
      <c r="A153" s="42">
        <v>46195</v>
      </c>
      <c r="B153" s="43">
        <v>0.24975694444444441</v>
      </c>
      <c r="C153" t="s">
        <v>155</v>
      </c>
      <c r="D153" t="s">
        <v>155</v>
      </c>
      <c r="E153" t="s">
        <v>560</v>
      </c>
      <c r="F153">
        <v>-400000</v>
      </c>
      <c r="G153" t="s">
        <v>438</v>
      </c>
    </row>
    <row r="154" spans="1:7" x14ac:dyDescent="0.3">
      <c r="A154" s="42">
        <v>46195</v>
      </c>
      <c r="B154" s="43">
        <v>0.13189814814814821</v>
      </c>
      <c r="C154" t="s">
        <v>155</v>
      </c>
      <c r="D154" t="s">
        <v>213</v>
      </c>
      <c r="E154" t="s">
        <v>561</v>
      </c>
      <c r="F154">
        <v>-151600</v>
      </c>
      <c r="G154" t="s">
        <v>438</v>
      </c>
    </row>
    <row r="155" spans="1:7" x14ac:dyDescent="0.3">
      <c r="A155" s="42">
        <v>46194</v>
      </c>
      <c r="B155" s="43">
        <v>0.62124999999999997</v>
      </c>
      <c r="C155" t="s">
        <v>152</v>
      </c>
      <c r="D155" t="s">
        <v>50</v>
      </c>
      <c r="E155" t="s">
        <v>562</v>
      </c>
      <c r="F155">
        <v>-2500</v>
      </c>
      <c r="G155" t="s">
        <v>473</v>
      </c>
    </row>
    <row r="156" spans="1:7" x14ac:dyDescent="0.3">
      <c r="A156" s="42">
        <v>46194</v>
      </c>
      <c r="B156" s="43">
        <v>0.5924652777777778</v>
      </c>
      <c r="C156" t="s">
        <v>152</v>
      </c>
      <c r="D156" t="s">
        <v>49</v>
      </c>
      <c r="E156" t="s">
        <v>338</v>
      </c>
      <c r="F156">
        <v>-55300</v>
      </c>
      <c r="G156" t="s">
        <v>473</v>
      </c>
    </row>
    <row r="157" spans="1:7" x14ac:dyDescent="0.3">
      <c r="A157" s="42">
        <v>46194</v>
      </c>
      <c r="B157" s="43">
        <v>0.57707175925925924</v>
      </c>
      <c r="C157" t="s">
        <v>152</v>
      </c>
      <c r="D157" t="s">
        <v>49</v>
      </c>
      <c r="E157" t="s">
        <v>338</v>
      </c>
      <c r="F157">
        <v>-3710</v>
      </c>
      <c r="G157" t="s">
        <v>473</v>
      </c>
    </row>
    <row r="158" spans="1:7" x14ac:dyDescent="0.3">
      <c r="A158" s="42">
        <v>46194</v>
      </c>
      <c r="B158" s="43">
        <v>0.55056712962962961</v>
      </c>
      <c r="C158" t="s">
        <v>152</v>
      </c>
      <c r="D158" t="s">
        <v>49</v>
      </c>
      <c r="E158" t="s">
        <v>563</v>
      </c>
      <c r="F158">
        <v>-3500</v>
      </c>
      <c r="G158" t="s">
        <v>473</v>
      </c>
    </row>
    <row r="159" spans="1:7" x14ac:dyDescent="0.3">
      <c r="A159" s="42">
        <v>46194</v>
      </c>
      <c r="B159" s="43">
        <v>0.54575231481481479</v>
      </c>
      <c r="C159" t="s">
        <v>152</v>
      </c>
      <c r="D159" t="s">
        <v>50</v>
      </c>
      <c r="E159" t="s">
        <v>564</v>
      </c>
      <c r="F159">
        <v>-100600</v>
      </c>
      <c r="G159" t="s">
        <v>498</v>
      </c>
    </row>
    <row r="160" spans="1:7" x14ac:dyDescent="0.3">
      <c r="A160" s="42">
        <v>46194</v>
      </c>
      <c r="B160" s="43">
        <v>0.52408564814814818</v>
      </c>
      <c r="C160" t="s">
        <v>152</v>
      </c>
      <c r="D160" t="s">
        <v>50</v>
      </c>
      <c r="E160" t="s">
        <v>562</v>
      </c>
      <c r="F160">
        <v>-77400</v>
      </c>
      <c r="G160" t="s">
        <v>473</v>
      </c>
    </row>
    <row r="161" spans="1:7" x14ac:dyDescent="0.3">
      <c r="A161" s="42">
        <v>46194</v>
      </c>
      <c r="B161" s="43">
        <v>0.44178240740740737</v>
      </c>
      <c r="C161" t="s">
        <v>152</v>
      </c>
      <c r="D161" t="s">
        <v>38</v>
      </c>
      <c r="E161" t="s">
        <v>565</v>
      </c>
      <c r="F161">
        <v>-9000</v>
      </c>
      <c r="G161" t="s">
        <v>473</v>
      </c>
    </row>
    <row r="162" spans="1:7" x14ac:dyDescent="0.3">
      <c r="A162" s="42">
        <v>46194</v>
      </c>
      <c r="B162" s="43">
        <v>0.40847222222222218</v>
      </c>
      <c r="C162" t="s">
        <v>152</v>
      </c>
      <c r="D162" t="s">
        <v>44</v>
      </c>
      <c r="E162" t="s">
        <v>566</v>
      </c>
      <c r="F162">
        <v>-1000</v>
      </c>
      <c r="G162" t="s">
        <v>473</v>
      </c>
    </row>
    <row r="163" spans="1:7" x14ac:dyDescent="0.3">
      <c r="A163" s="42">
        <v>46194</v>
      </c>
      <c r="B163" s="43">
        <v>0.37093749999999998</v>
      </c>
      <c r="C163" t="s">
        <v>152</v>
      </c>
      <c r="D163" t="s">
        <v>36</v>
      </c>
      <c r="E163" t="s">
        <v>476</v>
      </c>
      <c r="F163">
        <v>-3100</v>
      </c>
      <c r="G163" t="s">
        <v>475</v>
      </c>
    </row>
    <row r="164" spans="1:7" x14ac:dyDescent="0.3">
      <c r="A164" s="42">
        <v>46194</v>
      </c>
      <c r="B164" s="43">
        <v>0.34435185185185191</v>
      </c>
      <c r="C164" t="s">
        <v>176</v>
      </c>
      <c r="D164" t="s">
        <v>28</v>
      </c>
      <c r="E164" t="s">
        <v>477</v>
      </c>
      <c r="F164">
        <v>0</v>
      </c>
      <c r="G164" t="s">
        <v>435</v>
      </c>
    </row>
    <row r="165" spans="1:7" x14ac:dyDescent="0.3">
      <c r="A165" s="42">
        <v>46193</v>
      </c>
      <c r="B165" s="43">
        <v>0.67869212962962966</v>
      </c>
      <c r="C165" t="s">
        <v>155</v>
      </c>
      <c r="D165" t="s">
        <v>155</v>
      </c>
      <c r="E165" t="s">
        <v>567</v>
      </c>
      <c r="F165">
        <v>-1500000</v>
      </c>
      <c r="G165" t="s">
        <v>438</v>
      </c>
    </row>
    <row r="166" spans="1:7" x14ac:dyDescent="0.3">
      <c r="A166" s="42">
        <v>46193</v>
      </c>
      <c r="B166" s="43">
        <v>0.55251157407407403</v>
      </c>
      <c r="C166" t="s">
        <v>155</v>
      </c>
      <c r="D166" t="s">
        <v>155</v>
      </c>
      <c r="E166" t="s">
        <v>559</v>
      </c>
      <c r="F166">
        <v>1500000</v>
      </c>
      <c r="G166" t="s">
        <v>438</v>
      </c>
    </row>
    <row r="167" spans="1:7" x14ac:dyDescent="0.3">
      <c r="A167" s="42">
        <v>46193</v>
      </c>
      <c r="B167" s="43">
        <v>0.44918981481481479</v>
      </c>
      <c r="C167" t="s">
        <v>176</v>
      </c>
      <c r="D167" t="s">
        <v>28</v>
      </c>
      <c r="E167" t="s">
        <v>273</v>
      </c>
      <c r="F167">
        <v>54</v>
      </c>
      <c r="G167" t="s">
        <v>438</v>
      </c>
    </row>
    <row r="168" spans="1:7" x14ac:dyDescent="0.3">
      <c r="A168" s="42">
        <v>46193</v>
      </c>
      <c r="B168" s="43">
        <v>0.44395833333333329</v>
      </c>
      <c r="C168" t="s">
        <v>176</v>
      </c>
      <c r="D168" t="s">
        <v>28</v>
      </c>
      <c r="E168" t="s">
        <v>273</v>
      </c>
      <c r="F168">
        <v>2577</v>
      </c>
      <c r="G168" t="s">
        <v>440</v>
      </c>
    </row>
    <row r="169" spans="1:7" x14ac:dyDescent="0.3">
      <c r="A169" s="42">
        <v>46193</v>
      </c>
      <c r="B169" s="43">
        <v>0.42540509259259263</v>
      </c>
      <c r="C169" t="s">
        <v>155</v>
      </c>
      <c r="D169" t="s">
        <v>155</v>
      </c>
      <c r="E169" t="s">
        <v>568</v>
      </c>
      <c r="F169">
        <v>-15000</v>
      </c>
      <c r="G169" t="s">
        <v>67</v>
      </c>
    </row>
    <row r="170" spans="1:7" x14ac:dyDescent="0.3">
      <c r="A170" s="42">
        <v>46193</v>
      </c>
      <c r="B170" s="43">
        <v>0.37699074074074068</v>
      </c>
      <c r="C170" t="s">
        <v>152</v>
      </c>
      <c r="D170" t="s">
        <v>36</v>
      </c>
      <c r="E170" t="s">
        <v>569</v>
      </c>
      <c r="F170">
        <v>-3150</v>
      </c>
      <c r="G170" t="s">
        <v>475</v>
      </c>
    </row>
    <row r="171" spans="1:7" x14ac:dyDescent="0.3">
      <c r="A171" s="42">
        <v>46193</v>
      </c>
      <c r="B171" s="43">
        <v>0.29001157407407407</v>
      </c>
      <c r="C171" t="s">
        <v>155</v>
      </c>
      <c r="D171" t="s">
        <v>163</v>
      </c>
      <c r="E171" t="s">
        <v>277</v>
      </c>
      <c r="F171">
        <v>-3000000</v>
      </c>
      <c r="G171" t="s">
        <v>441</v>
      </c>
    </row>
    <row r="172" spans="1:7" x14ac:dyDescent="0.3">
      <c r="A172" s="42">
        <v>46193</v>
      </c>
      <c r="B172" s="43">
        <v>0.29001157407407407</v>
      </c>
      <c r="C172" t="s">
        <v>155</v>
      </c>
      <c r="D172" t="s">
        <v>163</v>
      </c>
      <c r="E172" t="s">
        <v>277</v>
      </c>
      <c r="F172">
        <v>3000000</v>
      </c>
      <c r="G172" t="s">
        <v>438</v>
      </c>
    </row>
    <row r="173" spans="1:7" x14ac:dyDescent="0.3">
      <c r="A173" s="42">
        <v>46193</v>
      </c>
      <c r="B173" s="43">
        <v>0.28858796296296302</v>
      </c>
      <c r="C173" t="s">
        <v>155</v>
      </c>
      <c r="D173" t="s">
        <v>163</v>
      </c>
      <c r="E173" t="s">
        <v>277</v>
      </c>
      <c r="F173">
        <v>2984101</v>
      </c>
      <c r="G173" t="s">
        <v>441</v>
      </c>
    </row>
    <row r="174" spans="1:7" x14ac:dyDescent="0.3">
      <c r="A174" s="42">
        <v>46193</v>
      </c>
      <c r="B174" s="43">
        <v>0.1257523148148148</v>
      </c>
      <c r="C174" t="s">
        <v>155</v>
      </c>
      <c r="D174" t="s">
        <v>156</v>
      </c>
      <c r="E174" t="s">
        <v>234</v>
      </c>
      <c r="F174">
        <v>0</v>
      </c>
      <c r="G174" t="s">
        <v>442</v>
      </c>
    </row>
    <row r="175" spans="1:7" x14ac:dyDescent="0.3">
      <c r="A175" s="42">
        <v>46192</v>
      </c>
      <c r="B175" s="43">
        <v>0.74853009259259262</v>
      </c>
      <c r="C175" t="s">
        <v>152</v>
      </c>
      <c r="D175" t="s">
        <v>42</v>
      </c>
      <c r="E175" t="s">
        <v>183</v>
      </c>
      <c r="F175">
        <v>-51000</v>
      </c>
      <c r="G175" t="s">
        <v>473</v>
      </c>
    </row>
    <row r="176" spans="1:7" x14ac:dyDescent="0.3">
      <c r="A176" s="42">
        <v>46192</v>
      </c>
      <c r="B176" s="43">
        <v>0.71969907407407407</v>
      </c>
      <c r="C176" t="s">
        <v>155</v>
      </c>
      <c r="D176" t="s">
        <v>163</v>
      </c>
      <c r="E176" t="s">
        <v>277</v>
      </c>
      <c r="F176">
        <v>-9992583</v>
      </c>
      <c r="G176" t="s">
        <v>67</v>
      </c>
    </row>
    <row r="177" spans="1:7" x14ac:dyDescent="0.3">
      <c r="A177" s="42">
        <v>46192</v>
      </c>
      <c r="B177" s="43">
        <v>0.71969907407407407</v>
      </c>
      <c r="C177" t="s">
        <v>155</v>
      </c>
      <c r="D177" t="s">
        <v>163</v>
      </c>
      <c r="E177" t="s">
        <v>277</v>
      </c>
      <c r="F177">
        <v>9992583</v>
      </c>
      <c r="G177" t="s">
        <v>440</v>
      </c>
    </row>
    <row r="178" spans="1:7" x14ac:dyDescent="0.3">
      <c r="A178" s="42">
        <v>46192</v>
      </c>
      <c r="B178" s="43">
        <v>0.71292824074074079</v>
      </c>
      <c r="C178" t="s">
        <v>155</v>
      </c>
      <c r="D178" t="s">
        <v>163</v>
      </c>
      <c r="E178" t="s">
        <v>277</v>
      </c>
      <c r="F178">
        <v>-300000</v>
      </c>
      <c r="G178" t="s">
        <v>67</v>
      </c>
    </row>
    <row r="179" spans="1:7" x14ac:dyDescent="0.3">
      <c r="A179" s="42">
        <v>46192</v>
      </c>
      <c r="B179" s="43">
        <v>0.71292824074074079</v>
      </c>
      <c r="C179" t="s">
        <v>155</v>
      </c>
      <c r="D179" t="s">
        <v>163</v>
      </c>
      <c r="E179" t="s">
        <v>277</v>
      </c>
      <c r="F179">
        <v>300000</v>
      </c>
      <c r="G179" t="s">
        <v>440</v>
      </c>
    </row>
    <row r="180" spans="1:7" x14ac:dyDescent="0.3">
      <c r="A180" s="42">
        <v>46192</v>
      </c>
      <c r="B180" s="43">
        <v>0.71255787037037033</v>
      </c>
      <c r="C180" t="s">
        <v>155</v>
      </c>
      <c r="D180" t="s">
        <v>155</v>
      </c>
      <c r="E180" t="s">
        <v>567</v>
      </c>
      <c r="F180">
        <v>-3000000</v>
      </c>
      <c r="G180" t="s">
        <v>438</v>
      </c>
    </row>
    <row r="181" spans="1:7" x14ac:dyDescent="0.3">
      <c r="A181" s="42">
        <v>46192</v>
      </c>
      <c r="B181" s="43">
        <v>0.599212962962963</v>
      </c>
      <c r="C181" t="s">
        <v>152</v>
      </c>
      <c r="D181" t="s">
        <v>49</v>
      </c>
      <c r="E181" t="s">
        <v>224</v>
      </c>
      <c r="F181">
        <v>-1500</v>
      </c>
      <c r="G181" t="s">
        <v>473</v>
      </c>
    </row>
    <row r="182" spans="1:7" x14ac:dyDescent="0.3">
      <c r="A182" s="42">
        <v>46192</v>
      </c>
      <c r="B182" s="43">
        <v>0.55153935185185188</v>
      </c>
      <c r="C182" t="s">
        <v>152</v>
      </c>
      <c r="D182" t="s">
        <v>42</v>
      </c>
      <c r="E182" t="s">
        <v>570</v>
      </c>
      <c r="F182">
        <v>-26400</v>
      </c>
      <c r="G182" t="s">
        <v>473</v>
      </c>
    </row>
    <row r="183" spans="1:7" x14ac:dyDescent="0.3">
      <c r="A183" s="42">
        <v>46192</v>
      </c>
      <c r="B183" s="43">
        <v>0.53050925925925929</v>
      </c>
      <c r="C183" t="s">
        <v>155</v>
      </c>
      <c r="D183" t="s">
        <v>155</v>
      </c>
      <c r="E183" t="s">
        <v>571</v>
      </c>
      <c r="F183">
        <v>-8000000</v>
      </c>
      <c r="G183" t="s">
        <v>440</v>
      </c>
    </row>
    <row r="184" spans="1:7" x14ac:dyDescent="0.3">
      <c r="A184" s="42">
        <v>46192</v>
      </c>
      <c r="B184" s="43">
        <v>0.47479166666666672</v>
      </c>
      <c r="C184" t="s">
        <v>155</v>
      </c>
      <c r="D184" t="s">
        <v>155</v>
      </c>
      <c r="E184" t="s">
        <v>572</v>
      </c>
      <c r="F184">
        <v>-413470</v>
      </c>
      <c r="G184" t="s">
        <v>67</v>
      </c>
    </row>
    <row r="185" spans="1:7" x14ac:dyDescent="0.3">
      <c r="A185" s="42">
        <v>46192</v>
      </c>
      <c r="B185" s="43">
        <v>0.44623842592592589</v>
      </c>
      <c r="C185" t="s">
        <v>176</v>
      </c>
      <c r="D185" t="s">
        <v>29</v>
      </c>
      <c r="E185" t="s">
        <v>573</v>
      </c>
      <c r="F185">
        <v>1</v>
      </c>
      <c r="G185" t="s">
        <v>438</v>
      </c>
    </row>
    <row r="186" spans="1:7" x14ac:dyDescent="0.3">
      <c r="A186" s="42">
        <v>46192</v>
      </c>
      <c r="B186" s="43">
        <v>0.41700231481481481</v>
      </c>
      <c r="C186" t="s">
        <v>176</v>
      </c>
      <c r="D186" t="s">
        <v>29</v>
      </c>
      <c r="E186" t="s">
        <v>527</v>
      </c>
      <c r="F186">
        <v>3667000</v>
      </c>
      <c r="G186" t="s">
        <v>438</v>
      </c>
    </row>
    <row r="187" spans="1:7" x14ac:dyDescent="0.3">
      <c r="A187" s="42">
        <v>46192</v>
      </c>
      <c r="B187" s="43">
        <v>0.36984953703703699</v>
      </c>
      <c r="C187" t="s">
        <v>152</v>
      </c>
      <c r="D187" t="s">
        <v>37</v>
      </c>
      <c r="E187" t="s">
        <v>165</v>
      </c>
      <c r="F187">
        <v>-100000</v>
      </c>
      <c r="G187" t="s">
        <v>158</v>
      </c>
    </row>
    <row r="188" spans="1:7" x14ac:dyDescent="0.3">
      <c r="A188" s="42">
        <v>46192</v>
      </c>
      <c r="B188" s="43">
        <v>0.36947916666666669</v>
      </c>
      <c r="C188" t="s">
        <v>155</v>
      </c>
      <c r="D188" t="s">
        <v>155</v>
      </c>
      <c r="E188" t="s">
        <v>555</v>
      </c>
      <c r="F188">
        <v>100000</v>
      </c>
      <c r="G188" t="s">
        <v>158</v>
      </c>
    </row>
    <row r="189" spans="1:7" x14ac:dyDescent="0.3">
      <c r="A189" s="42">
        <v>46192</v>
      </c>
      <c r="B189" s="43">
        <v>0.3507986111111111</v>
      </c>
      <c r="C189" t="s">
        <v>152</v>
      </c>
      <c r="D189" t="s">
        <v>48</v>
      </c>
      <c r="E189" t="s">
        <v>574</v>
      </c>
      <c r="F189">
        <v>-5550</v>
      </c>
      <c r="G189" t="s">
        <v>473</v>
      </c>
    </row>
    <row r="190" spans="1:7" x14ac:dyDescent="0.3">
      <c r="A190" s="42">
        <v>46191</v>
      </c>
      <c r="B190" s="43">
        <v>0.77879629629629632</v>
      </c>
      <c r="C190" t="s">
        <v>155</v>
      </c>
      <c r="D190" t="s">
        <v>213</v>
      </c>
      <c r="E190" t="s">
        <v>491</v>
      </c>
      <c r="F190">
        <v>-1500</v>
      </c>
      <c r="G190" t="s">
        <v>441</v>
      </c>
    </row>
    <row r="191" spans="1:7" x14ac:dyDescent="0.3">
      <c r="A191" s="42">
        <v>46191</v>
      </c>
      <c r="B191" s="43">
        <v>0.77879629629629632</v>
      </c>
      <c r="C191" t="s">
        <v>152</v>
      </c>
      <c r="D191" t="s">
        <v>37</v>
      </c>
      <c r="E191" t="s">
        <v>490</v>
      </c>
      <c r="F191">
        <v>-1550</v>
      </c>
      <c r="G191" t="s">
        <v>441</v>
      </c>
    </row>
    <row r="192" spans="1:7" x14ac:dyDescent="0.3">
      <c r="A192" s="42">
        <v>46191</v>
      </c>
      <c r="B192" s="43">
        <v>0.74320601851851853</v>
      </c>
      <c r="C192" t="s">
        <v>152</v>
      </c>
      <c r="D192" t="s">
        <v>40</v>
      </c>
      <c r="E192" t="s">
        <v>267</v>
      </c>
      <c r="F192">
        <v>-17380</v>
      </c>
      <c r="G192" t="s">
        <v>473</v>
      </c>
    </row>
    <row r="193" spans="1:7" x14ac:dyDescent="0.3">
      <c r="A193" s="42">
        <v>46191</v>
      </c>
      <c r="B193" s="43">
        <v>0.39256944444444453</v>
      </c>
      <c r="C193" t="s">
        <v>152</v>
      </c>
      <c r="D193" t="s">
        <v>36</v>
      </c>
      <c r="E193" t="s">
        <v>474</v>
      </c>
      <c r="F193">
        <v>-1500</v>
      </c>
      <c r="G193" t="s">
        <v>475</v>
      </c>
    </row>
    <row r="194" spans="1:7" x14ac:dyDescent="0.3">
      <c r="A194" s="42">
        <v>46191</v>
      </c>
      <c r="B194" s="43">
        <v>0.39256944444444453</v>
      </c>
      <c r="C194" t="s">
        <v>152</v>
      </c>
      <c r="D194" t="s">
        <v>36</v>
      </c>
      <c r="E194" t="s">
        <v>496</v>
      </c>
      <c r="F194">
        <v>-1550</v>
      </c>
      <c r="G194" t="s">
        <v>475</v>
      </c>
    </row>
    <row r="195" spans="1:7" x14ac:dyDescent="0.3">
      <c r="A195" s="42">
        <v>46190</v>
      </c>
      <c r="B195" s="43">
        <v>0.80031249999999998</v>
      </c>
      <c r="C195" t="s">
        <v>152</v>
      </c>
      <c r="D195" t="s">
        <v>37</v>
      </c>
      <c r="E195" t="s">
        <v>575</v>
      </c>
      <c r="F195">
        <v>-50000</v>
      </c>
      <c r="G195" t="s">
        <v>481</v>
      </c>
    </row>
    <row r="196" spans="1:7" x14ac:dyDescent="0.3">
      <c r="A196" s="42">
        <v>46189</v>
      </c>
      <c r="B196" s="43">
        <v>0.786712962962963</v>
      </c>
      <c r="C196" t="s">
        <v>152</v>
      </c>
      <c r="D196" t="s">
        <v>37</v>
      </c>
      <c r="E196" t="s">
        <v>492</v>
      </c>
      <c r="F196">
        <v>-1750</v>
      </c>
      <c r="G196" t="s">
        <v>441</v>
      </c>
    </row>
    <row r="197" spans="1:7" x14ac:dyDescent="0.3">
      <c r="A197" s="42">
        <v>46189</v>
      </c>
      <c r="B197" s="43">
        <v>0.48689814814814808</v>
      </c>
      <c r="C197" t="s">
        <v>152</v>
      </c>
      <c r="D197" t="s">
        <v>42</v>
      </c>
      <c r="E197" t="s">
        <v>576</v>
      </c>
      <c r="F197">
        <v>-37300</v>
      </c>
      <c r="G197" t="s">
        <v>473</v>
      </c>
    </row>
    <row r="198" spans="1:7" x14ac:dyDescent="0.3">
      <c r="A198" s="42">
        <v>46189</v>
      </c>
      <c r="B198" s="43">
        <v>0.41144675925925928</v>
      </c>
      <c r="C198" t="s">
        <v>152</v>
      </c>
      <c r="D198" t="s">
        <v>36</v>
      </c>
      <c r="E198" t="s">
        <v>476</v>
      </c>
      <c r="F198">
        <v>-1750</v>
      </c>
      <c r="G198" t="s">
        <v>475</v>
      </c>
    </row>
    <row r="199" spans="1:7" x14ac:dyDescent="0.3">
      <c r="A199" s="42">
        <v>46188</v>
      </c>
      <c r="B199" s="43">
        <v>0.78870370370370368</v>
      </c>
      <c r="C199" t="s">
        <v>152</v>
      </c>
      <c r="D199" t="s">
        <v>37</v>
      </c>
      <c r="E199" t="s">
        <v>490</v>
      </c>
      <c r="F199">
        <v>-1550</v>
      </c>
      <c r="G199" t="s">
        <v>441</v>
      </c>
    </row>
    <row r="200" spans="1:7" x14ac:dyDescent="0.3">
      <c r="A200" s="42">
        <v>46188</v>
      </c>
      <c r="B200" s="43">
        <v>0.78870370370370368</v>
      </c>
      <c r="C200" t="s">
        <v>155</v>
      </c>
      <c r="D200" t="s">
        <v>213</v>
      </c>
      <c r="E200" t="s">
        <v>491</v>
      </c>
      <c r="F200">
        <v>-1650</v>
      </c>
      <c r="G200" t="s">
        <v>441</v>
      </c>
    </row>
    <row r="201" spans="1:7" x14ac:dyDescent="0.3">
      <c r="A201" s="42">
        <v>46188</v>
      </c>
      <c r="B201" s="43">
        <v>0.78870370370370368</v>
      </c>
      <c r="C201" t="s">
        <v>152</v>
      </c>
      <c r="D201" t="s">
        <v>37</v>
      </c>
      <c r="E201" t="s">
        <v>492</v>
      </c>
      <c r="F201">
        <v>-1900</v>
      </c>
      <c r="G201" t="s">
        <v>441</v>
      </c>
    </row>
    <row r="202" spans="1:7" x14ac:dyDescent="0.3">
      <c r="A202" s="42">
        <v>46188</v>
      </c>
      <c r="B202" s="43">
        <v>0.78870370370370368</v>
      </c>
      <c r="C202" t="s">
        <v>152</v>
      </c>
      <c r="D202" t="s">
        <v>37</v>
      </c>
      <c r="E202" t="s">
        <v>492</v>
      </c>
      <c r="F202">
        <v>-1900</v>
      </c>
      <c r="G202" t="s">
        <v>441</v>
      </c>
    </row>
    <row r="203" spans="1:7" x14ac:dyDescent="0.3">
      <c r="A203" s="42">
        <v>46188</v>
      </c>
      <c r="B203" s="43">
        <v>0.78870370370370368</v>
      </c>
      <c r="C203" t="s">
        <v>155</v>
      </c>
      <c r="D203" t="s">
        <v>213</v>
      </c>
      <c r="E203" t="s">
        <v>491</v>
      </c>
      <c r="F203">
        <v>-1200</v>
      </c>
      <c r="G203" t="s">
        <v>441</v>
      </c>
    </row>
    <row r="204" spans="1:7" x14ac:dyDescent="0.3">
      <c r="A204" s="42">
        <v>46188</v>
      </c>
      <c r="B204" s="43">
        <v>0.58861111111111108</v>
      </c>
      <c r="C204" t="s">
        <v>155</v>
      </c>
      <c r="D204" t="s">
        <v>163</v>
      </c>
      <c r="E204" t="s">
        <v>577</v>
      </c>
      <c r="F204">
        <v>10000</v>
      </c>
      <c r="G204" t="s">
        <v>158</v>
      </c>
    </row>
    <row r="205" spans="1:7" x14ac:dyDescent="0.3">
      <c r="A205" s="42">
        <v>46188</v>
      </c>
      <c r="B205" s="43">
        <v>0.58861111111111108</v>
      </c>
      <c r="C205" t="s">
        <v>152</v>
      </c>
      <c r="D205" t="s">
        <v>44</v>
      </c>
      <c r="E205" t="s">
        <v>383</v>
      </c>
      <c r="F205">
        <v>-8000</v>
      </c>
      <c r="G205" t="s">
        <v>236</v>
      </c>
    </row>
    <row r="206" spans="1:7" x14ac:dyDescent="0.3">
      <c r="A206" s="42">
        <v>46188</v>
      </c>
      <c r="B206" s="43">
        <v>0.58861111111111108</v>
      </c>
      <c r="C206" t="s">
        <v>155</v>
      </c>
      <c r="D206" t="s">
        <v>155</v>
      </c>
      <c r="E206" t="s">
        <v>166</v>
      </c>
      <c r="F206">
        <v>-10000</v>
      </c>
      <c r="G206" t="s">
        <v>438</v>
      </c>
    </row>
    <row r="207" spans="1:7" x14ac:dyDescent="0.3">
      <c r="A207" s="42">
        <v>46188</v>
      </c>
      <c r="B207" s="43">
        <v>0.41561342592592587</v>
      </c>
      <c r="C207" t="s">
        <v>155</v>
      </c>
      <c r="D207" t="s">
        <v>217</v>
      </c>
      <c r="E207" t="s">
        <v>482</v>
      </c>
      <c r="F207">
        <v>50000</v>
      </c>
      <c r="G207" t="s">
        <v>438</v>
      </c>
    </row>
    <row r="208" spans="1:7" x14ac:dyDescent="0.3">
      <c r="A208" s="42">
        <v>46188</v>
      </c>
      <c r="B208" s="43">
        <v>0.39333333333333331</v>
      </c>
      <c r="C208" t="s">
        <v>152</v>
      </c>
      <c r="D208" t="s">
        <v>36</v>
      </c>
      <c r="E208" t="s">
        <v>496</v>
      </c>
      <c r="F208">
        <v>-1550</v>
      </c>
      <c r="G208" t="s">
        <v>475</v>
      </c>
    </row>
    <row r="209" spans="1:7" x14ac:dyDescent="0.3">
      <c r="A209" s="42">
        <v>46188</v>
      </c>
      <c r="B209" s="43">
        <v>0.14987268518518521</v>
      </c>
      <c r="C209" t="s">
        <v>152</v>
      </c>
      <c r="D209" t="s">
        <v>37</v>
      </c>
      <c r="E209" t="s">
        <v>578</v>
      </c>
      <c r="F209">
        <v>-13501</v>
      </c>
      <c r="G209" t="s">
        <v>438</v>
      </c>
    </row>
    <row r="210" spans="1:7" x14ac:dyDescent="0.3">
      <c r="A210" s="42">
        <v>46187</v>
      </c>
      <c r="B210" s="43">
        <v>0.85562499999999997</v>
      </c>
      <c r="C210" t="s">
        <v>155</v>
      </c>
      <c r="D210" t="s">
        <v>155</v>
      </c>
      <c r="E210" t="s">
        <v>166</v>
      </c>
      <c r="F210">
        <v>-11000</v>
      </c>
      <c r="G210" t="s">
        <v>438</v>
      </c>
    </row>
    <row r="211" spans="1:7" x14ac:dyDescent="0.3">
      <c r="A211" s="42">
        <v>46187</v>
      </c>
      <c r="B211" s="43">
        <v>0.85561342592592593</v>
      </c>
      <c r="C211" t="s">
        <v>155</v>
      </c>
      <c r="D211" t="s">
        <v>163</v>
      </c>
      <c r="E211" t="s">
        <v>577</v>
      </c>
      <c r="F211">
        <v>11000</v>
      </c>
      <c r="G211" t="s">
        <v>158</v>
      </c>
    </row>
    <row r="212" spans="1:7" x14ac:dyDescent="0.3">
      <c r="A212" s="42">
        <v>46187</v>
      </c>
      <c r="B212" s="43">
        <v>0.85561342592592593</v>
      </c>
      <c r="C212" t="s">
        <v>152</v>
      </c>
      <c r="D212" t="s">
        <v>37</v>
      </c>
      <c r="E212" t="s">
        <v>165</v>
      </c>
      <c r="F212">
        <v>-35000</v>
      </c>
      <c r="G212" t="s">
        <v>158</v>
      </c>
    </row>
    <row r="213" spans="1:7" x14ac:dyDescent="0.3">
      <c r="A213" s="42">
        <v>46187</v>
      </c>
      <c r="B213" s="43">
        <v>0.75820601851851854</v>
      </c>
      <c r="C213" t="s">
        <v>152</v>
      </c>
      <c r="D213" t="s">
        <v>50</v>
      </c>
      <c r="E213" t="s">
        <v>231</v>
      </c>
      <c r="F213">
        <v>-3500</v>
      </c>
      <c r="G213" t="s">
        <v>473</v>
      </c>
    </row>
    <row r="214" spans="1:7" x14ac:dyDescent="0.3">
      <c r="A214" s="42">
        <v>46187</v>
      </c>
      <c r="B214" s="43">
        <v>0.71089120370370373</v>
      </c>
      <c r="C214" t="s">
        <v>152</v>
      </c>
      <c r="D214" t="s">
        <v>50</v>
      </c>
      <c r="E214" t="s">
        <v>231</v>
      </c>
      <c r="F214">
        <v>-16500</v>
      </c>
      <c r="G214" t="s">
        <v>473</v>
      </c>
    </row>
    <row r="215" spans="1:7" x14ac:dyDescent="0.3">
      <c r="A215" s="42">
        <v>46187</v>
      </c>
      <c r="B215" s="43">
        <v>0.50049768518518523</v>
      </c>
      <c r="C215" t="s">
        <v>152</v>
      </c>
      <c r="D215" t="s">
        <v>40</v>
      </c>
      <c r="E215" t="s">
        <v>425</v>
      </c>
      <c r="F215">
        <v>-3200</v>
      </c>
      <c r="G215" t="s">
        <v>473</v>
      </c>
    </row>
    <row r="216" spans="1:7" x14ac:dyDescent="0.3">
      <c r="A216" s="42">
        <v>46187</v>
      </c>
      <c r="B216" s="43">
        <v>0.44892361111111112</v>
      </c>
      <c r="C216" t="s">
        <v>152</v>
      </c>
      <c r="D216" t="s">
        <v>37</v>
      </c>
      <c r="E216" t="s">
        <v>409</v>
      </c>
      <c r="F216">
        <v>-2000</v>
      </c>
      <c r="G216" t="s">
        <v>473</v>
      </c>
    </row>
    <row r="217" spans="1:7" x14ac:dyDescent="0.3">
      <c r="A217" s="42">
        <v>46187</v>
      </c>
      <c r="B217" s="43">
        <v>0.44662037037037039</v>
      </c>
      <c r="C217" t="s">
        <v>152</v>
      </c>
      <c r="D217" t="s">
        <v>40</v>
      </c>
      <c r="E217" t="s">
        <v>410</v>
      </c>
      <c r="F217">
        <v>-3200</v>
      </c>
      <c r="G217" t="s">
        <v>473</v>
      </c>
    </row>
    <row r="218" spans="1:7" x14ac:dyDescent="0.3">
      <c r="A218" s="42">
        <v>46187</v>
      </c>
      <c r="B218" s="43">
        <v>0.37870370370370371</v>
      </c>
      <c r="C218" t="s">
        <v>155</v>
      </c>
      <c r="D218" t="s">
        <v>155</v>
      </c>
      <c r="E218" t="s">
        <v>7</v>
      </c>
      <c r="F218">
        <v>-10000000</v>
      </c>
      <c r="G218" t="s">
        <v>67</v>
      </c>
    </row>
    <row r="219" spans="1:7" x14ac:dyDescent="0.3">
      <c r="A219" s="42">
        <v>46187</v>
      </c>
      <c r="B219" s="43">
        <v>0.37849537037037029</v>
      </c>
      <c r="C219" t="s">
        <v>155</v>
      </c>
      <c r="D219" t="s">
        <v>155</v>
      </c>
      <c r="E219" t="s">
        <v>7</v>
      </c>
      <c r="F219">
        <v>-10000000</v>
      </c>
      <c r="G219" t="s">
        <v>67</v>
      </c>
    </row>
    <row r="220" spans="1:7" x14ac:dyDescent="0.3">
      <c r="A220" s="42">
        <v>46187</v>
      </c>
      <c r="B220" s="43">
        <v>0.3782638888888889</v>
      </c>
      <c r="C220" t="s">
        <v>155</v>
      </c>
      <c r="D220" t="s">
        <v>155</v>
      </c>
      <c r="E220" t="s">
        <v>7</v>
      </c>
      <c r="F220">
        <v>-10000000</v>
      </c>
      <c r="G220" t="s">
        <v>67</v>
      </c>
    </row>
    <row r="221" spans="1:7" x14ac:dyDescent="0.3">
      <c r="A221" s="42">
        <v>46187</v>
      </c>
      <c r="B221" s="43">
        <v>0.37018518518518517</v>
      </c>
      <c r="C221" t="s">
        <v>152</v>
      </c>
      <c r="D221" t="s">
        <v>36</v>
      </c>
      <c r="E221" t="s">
        <v>474</v>
      </c>
      <c r="F221">
        <v>-1650</v>
      </c>
      <c r="G221" t="s">
        <v>475</v>
      </c>
    </row>
    <row r="222" spans="1:7" x14ac:dyDescent="0.3">
      <c r="A222" s="42">
        <v>46187</v>
      </c>
      <c r="B222" s="43">
        <v>0.37018518518518517</v>
      </c>
      <c r="C222" t="s">
        <v>152</v>
      </c>
      <c r="D222" t="s">
        <v>36</v>
      </c>
      <c r="E222" t="s">
        <v>476</v>
      </c>
      <c r="F222">
        <v>-1900</v>
      </c>
      <c r="G222" t="s">
        <v>475</v>
      </c>
    </row>
    <row r="223" spans="1:7" x14ac:dyDescent="0.3">
      <c r="A223" s="42">
        <v>46187</v>
      </c>
      <c r="B223" s="43">
        <v>0.25332175925925932</v>
      </c>
      <c r="C223" t="s">
        <v>155</v>
      </c>
      <c r="D223" t="s">
        <v>217</v>
      </c>
      <c r="E223" t="s">
        <v>579</v>
      </c>
      <c r="F223">
        <v>30605650</v>
      </c>
      <c r="G223" t="s">
        <v>67</v>
      </c>
    </row>
    <row r="224" spans="1:7" x14ac:dyDescent="0.3">
      <c r="A224" s="42">
        <v>46187</v>
      </c>
      <c r="B224" s="43">
        <v>0.177650462962963</v>
      </c>
      <c r="C224" t="s">
        <v>152</v>
      </c>
      <c r="D224" t="s">
        <v>44</v>
      </c>
      <c r="E224" t="s">
        <v>580</v>
      </c>
      <c r="F224">
        <v>-300</v>
      </c>
      <c r="G224" t="s">
        <v>498</v>
      </c>
    </row>
    <row r="225" spans="1:7" x14ac:dyDescent="0.3">
      <c r="A225" s="42">
        <v>46186</v>
      </c>
      <c r="B225" s="43">
        <v>0.4601851851851852</v>
      </c>
      <c r="C225" t="s">
        <v>152</v>
      </c>
      <c r="D225" t="s">
        <v>40</v>
      </c>
      <c r="E225" t="s">
        <v>542</v>
      </c>
      <c r="F225">
        <v>-34760</v>
      </c>
      <c r="G225" t="s">
        <v>473</v>
      </c>
    </row>
    <row r="226" spans="1:7" x14ac:dyDescent="0.3">
      <c r="A226" s="42">
        <v>46186</v>
      </c>
      <c r="B226" s="43">
        <v>0.45041666666666669</v>
      </c>
      <c r="C226" t="s">
        <v>152</v>
      </c>
      <c r="D226" t="s">
        <v>45</v>
      </c>
      <c r="E226" t="s">
        <v>333</v>
      </c>
      <c r="F226">
        <v>-83500</v>
      </c>
      <c r="G226" t="s">
        <v>182</v>
      </c>
    </row>
    <row r="227" spans="1:7" x14ac:dyDescent="0.3">
      <c r="A227" s="42">
        <v>46186</v>
      </c>
      <c r="B227" s="43">
        <v>0.37760416666666669</v>
      </c>
      <c r="C227" t="s">
        <v>152</v>
      </c>
      <c r="D227" t="s">
        <v>36</v>
      </c>
      <c r="E227" t="s">
        <v>474</v>
      </c>
      <c r="F227">
        <v>-1200</v>
      </c>
      <c r="G227" t="s">
        <v>475</v>
      </c>
    </row>
    <row r="228" spans="1:7" x14ac:dyDescent="0.3">
      <c r="A228" s="42">
        <v>46186</v>
      </c>
      <c r="B228" s="43">
        <v>0.37760416666666669</v>
      </c>
      <c r="C228" t="s">
        <v>152</v>
      </c>
      <c r="D228" t="s">
        <v>36</v>
      </c>
      <c r="E228" t="s">
        <v>476</v>
      </c>
      <c r="F228">
        <v>-1900</v>
      </c>
      <c r="G228" t="s">
        <v>475</v>
      </c>
    </row>
    <row r="229" spans="1:7" x14ac:dyDescent="0.3">
      <c r="A229" s="42">
        <v>46186</v>
      </c>
      <c r="B229" s="43">
        <v>0.12950231481481481</v>
      </c>
      <c r="C229" t="s">
        <v>155</v>
      </c>
      <c r="D229" t="s">
        <v>156</v>
      </c>
      <c r="E229" t="s">
        <v>234</v>
      </c>
      <c r="F229">
        <v>0</v>
      </c>
      <c r="G229" t="s">
        <v>437</v>
      </c>
    </row>
    <row r="230" spans="1:7" x14ac:dyDescent="0.3">
      <c r="A230" s="42">
        <v>46185</v>
      </c>
      <c r="B230" s="43">
        <v>0.78035879629629634</v>
      </c>
      <c r="C230" t="s">
        <v>155</v>
      </c>
      <c r="D230" t="s">
        <v>213</v>
      </c>
      <c r="E230" t="s">
        <v>491</v>
      </c>
      <c r="F230">
        <v>-1200</v>
      </c>
      <c r="G230" t="s">
        <v>441</v>
      </c>
    </row>
    <row r="231" spans="1:7" x14ac:dyDescent="0.3">
      <c r="A231" s="42">
        <v>46185</v>
      </c>
      <c r="B231" s="43">
        <v>0.78035879629629634</v>
      </c>
      <c r="C231" t="s">
        <v>152</v>
      </c>
      <c r="D231" t="s">
        <v>37</v>
      </c>
      <c r="E231" t="s">
        <v>514</v>
      </c>
      <c r="F231">
        <v>-3600</v>
      </c>
      <c r="G231" t="s">
        <v>441</v>
      </c>
    </row>
    <row r="232" spans="1:7" x14ac:dyDescent="0.3">
      <c r="A232" s="42">
        <v>46185</v>
      </c>
      <c r="B232" s="43">
        <v>0.39001157407407411</v>
      </c>
      <c r="C232" t="s">
        <v>152</v>
      </c>
      <c r="D232" t="s">
        <v>36</v>
      </c>
      <c r="E232" t="s">
        <v>474</v>
      </c>
      <c r="F232">
        <v>-1200</v>
      </c>
      <c r="G232" t="s">
        <v>475</v>
      </c>
    </row>
    <row r="233" spans="1:7" x14ac:dyDescent="0.3">
      <c r="A233" s="42">
        <v>46185</v>
      </c>
      <c r="B233" s="43">
        <v>0.39001157407407411</v>
      </c>
      <c r="C233" t="s">
        <v>152</v>
      </c>
      <c r="D233" t="s">
        <v>36</v>
      </c>
      <c r="E233" t="s">
        <v>521</v>
      </c>
      <c r="F233">
        <v>-3600</v>
      </c>
      <c r="G233" t="s">
        <v>475</v>
      </c>
    </row>
    <row r="234" spans="1:7" x14ac:dyDescent="0.3">
      <c r="A234" s="42">
        <v>46184</v>
      </c>
      <c r="B234" s="43">
        <v>0.28826388888888888</v>
      </c>
      <c r="C234" t="s">
        <v>155</v>
      </c>
      <c r="D234" t="s">
        <v>163</v>
      </c>
      <c r="E234" t="s">
        <v>277</v>
      </c>
      <c r="F234">
        <v>50000</v>
      </c>
      <c r="G234" t="s">
        <v>67</v>
      </c>
    </row>
    <row r="235" spans="1:7" x14ac:dyDescent="0.3">
      <c r="A235" s="42">
        <v>46184</v>
      </c>
      <c r="B235" s="43">
        <v>0.28825231481481478</v>
      </c>
      <c r="C235" t="s">
        <v>155</v>
      </c>
      <c r="D235" t="s">
        <v>163</v>
      </c>
      <c r="E235" t="s">
        <v>483</v>
      </c>
      <c r="F235">
        <v>-50000</v>
      </c>
      <c r="G235" t="s">
        <v>440</v>
      </c>
    </row>
    <row r="236" spans="1:7" x14ac:dyDescent="0.3">
      <c r="A236" s="42">
        <v>46184</v>
      </c>
      <c r="B236" s="43">
        <v>0.28783564814814822</v>
      </c>
      <c r="C236" t="s">
        <v>155</v>
      </c>
      <c r="D236" t="s">
        <v>163</v>
      </c>
      <c r="E236" t="s">
        <v>277</v>
      </c>
      <c r="F236">
        <v>50000</v>
      </c>
      <c r="G236" t="s">
        <v>67</v>
      </c>
    </row>
    <row r="237" spans="1:7" x14ac:dyDescent="0.3">
      <c r="A237" s="42">
        <v>46184</v>
      </c>
      <c r="B237" s="43">
        <v>0.28783564814814822</v>
      </c>
      <c r="C237" t="s">
        <v>155</v>
      </c>
      <c r="D237" t="s">
        <v>163</v>
      </c>
      <c r="E237" t="s">
        <v>277</v>
      </c>
      <c r="F237">
        <v>-50000</v>
      </c>
      <c r="G237" t="s">
        <v>67</v>
      </c>
    </row>
    <row r="238" spans="1:7" x14ac:dyDescent="0.3">
      <c r="A238" s="42">
        <v>46184</v>
      </c>
      <c r="B238" s="43">
        <v>0.28747685185185179</v>
      </c>
      <c r="C238" t="s">
        <v>176</v>
      </c>
      <c r="D238" t="s">
        <v>28</v>
      </c>
      <c r="E238" t="s">
        <v>422</v>
      </c>
      <c r="F238">
        <v>20036655</v>
      </c>
      <c r="G238" t="s">
        <v>440</v>
      </c>
    </row>
    <row r="239" spans="1:7" x14ac:dyDescent="0.3">
      <c r="A239" s="42">
        <v>46183</v>
      </c>
      <c r="B239" s="43">
        <v>0.5090393518518519</v>
      </c>
      <c r="C239" t="s">
        <v>152</v>
      </c>
      <c r="D239" t="s">
        <v>49</v>
      </c>
      <c r="E239" t="s">
        <v>581</v>
      </c>
      <c r="F239">
        <v>-100</v>
      </c>
      <c r="G239" t="s">
        <v>473</v>
      </c>
    </row>
    <row r="240" spans="1:7" x14ac:dyDescent="0.3">
      <c r="A240" s="42">
        <v>46183</v>
      </c>
      <c r="B240" s="43">
        <v>0.5065277777777778</v>
      </c>
      <c r="C240" t="s">
        <v>155</v>
      </c>
      <c r="D240" t="s">
        <v>155</v>
      </c>
      <c r="E240" t="s">
        <v>555</v>
      </c>
      <c r="F240">
        <v>24000</v>
      </c>
      <c r="G240" t="s">
        <v>158</v>
      </c>
    </row>
    <row r="241" spans="1:7" x14ac:dyDescent="0.3">
      <c r="A241" s="42">
        <v>46183</v>
      </c>
      <c r="B241" s="43">
        <v>0.48405092592592591</v>
      </c>
      <c r="C241" t="s">
        <v>152</v>
      </c>
      <c r="D241" t="s">
        <v>42</v>
      </c>
      <c r="E241" t="s">
        <v>582</v>
      </c>
      <c r="F241">
        <v>-24800</v>
      </c>
      <c r="G241" t="s">
        <v>473</v>
      </c>
    </row>
    <row r="242" spans="1:7" x14ac:dyDescent="0.3">
      <c r="A242" s="42">
        <v>46183</v>
      </c>
      <c r="B242" s="43">
        <v>0.47216435185185179</v>
      </c>
      <c r="C242" t="s">
        <v>155</v>
      </c>
      <c r="D242" t="s">
        <v>213</v>
      </c>
      <c r="E242" t="s">
        <v>583</v>
      </c>
      <c r="F242">
        <v>-119720</v>
      </c>
      <c r="G242" t="s">
        <v>67</v>
      </c>
    </row>
    <row r="243" spans="1:7" x14ac:dyDescent="0.3">
      <c r="A243" s="42">
        <v>46182</v>
      </c>
      <c r="B243" s="43">
        <v>0.78907407407407404</v>
      </c>
      <c r="C243" t="s">
        <v>152</v>
      </c>
      <c r="D243" t="s">
        <v>37</v>
      </c>
      <c r="E243" t="s">
        <v>492</v>
      </c>
      <c r="F243">
        <v>-3100</v>
      </c>
      <c r="G243" t="s">
        <v>441</v>
      </c>
    </row>
    <row r="244" spans="1:7" x14ac:dyDescent="0.3">
      <c r="A244" s="42">
        <v>46182</v>
      </c>
      <c r="B244" s="43">
        <v>0.40875</v>
      </c>
      <c r="C244" t="s">
        <v>152</v>
      </c>
      <c r="D244" t="s">
        <v>36</v>
      </c>
      <c r="E244" t="s">
        <v>476</v>
      </c>
      <c r="F244">
        <v>-3100</v>
      </c>
      <c r="G244" t="s">
        <v>475</v>
      </c>
    </row>
    <row r="245" spans="1:7" x14ac:dyDescent="0.3">
      <c r="A245" s="42">
        <v>46182</v>
      </c>
      <c r="B245" s="43">
        <v>4.2372685185185187E-2</v>
      </c>
      <c r="C245" t="s">
        <v>152</v>
      </c>
      <c r="D245" t="s">
        <v>48</v>
      </c>
      <c r="E245" t="s">
        <v>311</v>
      </c>
      <c r="F245">
        <v>-104830</v>
      </c>
      <c r="G245" t="s">
        <v>473</v>
      </c>
    </row>
    <row r="246" spans="1:7" x14ac:dyDescent="0.3">
      <c r="A246" s="42">
        <v>46181</v>
      </c>
      <c r="B246" s="43">
        <v>0.78704861111111113</v>
      </c>
      <c r="C246" t="s">
        <v>152</v>
      </c>
      <c r="D246" t="s">
        <v>37</v>
      </c>
      <c r="E246" t="s">
        <v>490</v>
      </c>
      <c r="F246">
        <v>-1550</v>
      </c>
      <c r="G246" t="s">
        <v>441</v>
      </c>
    </row>
    <row r="247" spans="1:7" x14ac:dyDescent="0.3">
      <c r="A247" s="42">
        <v>46181</v>
      </c>
      <c r="B247" s="43">
        <v>0.78704861111111113</v>
      </c>
      <c r="C247" t="s">
        <v>152</v>
      </c>
      <c r="D247" t="s">
        <v>37</v>
      </c>
      <c r="E247" t="s">
        <v>492</v>
      </c>
      <c r="F247">
        <v>-3100</v>
      </c>
      <c r="G247" t="s">
        <v>441</v>
      </c>
    </row>
    <row r="248" spans="1:7" x14ac:dyDescent="0.3">
      <c r="A248" s="42">
        <v>46181</v>
      </c>
      <c r="B248" s="43">
        <v>0.78704861111111113</v>
      </c>
      <c r="C248" t="s">
        <v>155</v>
      </c>
      <c r="D248" t="s">
        <v>217</v>
      </c>
      <c r="E248" t="s">
        <v>491</v>
      </c>
      <c r="F248">
        <v>-100</v>
      </c>
      <c r="G248" t="s">
        <v>441</v>
      </c>
    </row>
    <row r="249" spans="1:7" x14ac:dyDescent="0.3">
      <c r="A249" s="42">
        <v>46181</v>
      </c>
      <c r="B249" s="43">
        <v>0.78704861111111113</v>
      </c>
      <c r="C249" t="s">
        <v>152</v>
      </c>
      <c r="D249" t="s">
        <v>37</v>
      </c>
      <c r="E249" t="s">
        <v>556</v>
      </c>
      <c r="F249">
        <v>-3200</v>
      </c>
      <c r="G249" t="s">
        <v>441</v>
      </c>
    </row>
    <row r="250" spans="1:7" x14ac:dyDescent="0.3">
      <c r="A250" s="42">
        <v>46181</v>
      </c>
      <c r="B250" s="43">
        <v>0.62138888888888888</v>
      </c>
      <c r="C250" t="s">
        <v>152</v>
      </c>
      <c r="D250" t="s">
        <v>45</v>
      </c>
      <c r="E250" t="s">
        <v>584</v>
      </c>
      <c r="F250">
        <v>-5400</v>
      </c>
      <c r="G250" t="s">
        <v>473</v>
      </c>
    </row>
    <row r="251" spans="1:7" x14ac:dyDescent="0.3">
      <c r="A251" s="42">
        <v>46181</v>
      </c>
      <c r="B251" s="43">
        <v>0.62</v>
      </c>
      <c r="C251" t="s">
        <v>152</v>
      </c>
      <c r="D251" t="s">
        <v>45</v>
      </c>
      <c r="E251" t="s">
        <v>585</v>
      </c>
      <c r="F251">
        <v>-4700</v>
      </c>
      <c r="G251" t="s">
        <v>473</v>
      </c>
    </row>
    <row r="252" spans="1:7" x14ac:dyDescent="0.3">
      <c r="A252" s="42">
        <v>46181</v>
      </c>
      <c r="B252" s="43">
        <v>0.44365740740740739</v>
      </c>
      <c r="C252" t="s">
        <v>155</v>
      </c>
      <c r="D252" t="s">
        <v>217</v>
      </c>
      <c r="E252" t="s">
        <v>482</v>
      </c>
      <c r="F252">
        <v>70000</v>
      </c>
      <c r="G252" t="s">
        <v>438</v>
      </c>
    </row>
    <row r="253" spans="1:7" x14ac:dyDescent="0.3">
      <c r="A253" s="42">
        <v>46181</v>
      </c>
      <c r="B253" s="43">
        <v>0.38310185185185192</v>
      </c>
      <c r="C253" t="s">
        <v>152</v>
      </c>
      <c r="D253" t="s">
        <v>36</v>
      </c>
      <c r="E253" t="s">
        <v>496</v>
      </c>
      <c r="F253">
        <v>-1550</v>
      </c>
      <c r="G253" t="s">
        <v>475</v>
      </c>
    </row>
    <row r="254" spans="1:7" x14ac:dyDescent="0.3">
      <c r="A254" s="42">
        <v>46180</v>
      </c>
      <c r="B254" s="43">
        <v>0.78511574074074075</v>
      </c>
      <c r="C254" t="s">
        <v>152</v>
      </c>
      <c r="D254" t="s">
        <v>42</v>
      </c>
      <c r="E254" t="s">
        <v>412</v>
      </c>
      <c r="F254">
        <v>-10000</v>
      </c>
      <c r="G254" t="s">
        <v>473</v>
      </c>
    </row>
    <row r="255" spans="1:7" x14ac:dyDescent="0.3">
      <c r="A255" s="42">
        <v>46180</v>
      </c>
      <c r="B255" s="43">
        <v>0.42026620370370371</v>
      </c>
      <c r="C255" t="s">
        <v>152</v>
      </c>
      <c r="D255" t="s">
        <v>38</v>
      </c>
      <c r="E255" t="s">
        <v>371</v>
      </c>
      <c r="F255">
        <v>-1000</v>
      </c>
      <c r="G255" t="s">
        <v>473</v>
      </c>
    </row>
    <row r="256" spans="1:7" x14ac:dyDescent="0.3">
      <c r="A256" s="42">
        <v>46180</v>
      </c>
      <c r="B256" s="43">
        <v>0.41601851851851851</v>
      </c>
      <c r="C256" t="s">
        <v>152</v>
      </c>
      <c r="D256" t="s">
        <v>38</v>
      </c>
      <c r="E256" t="s">
        <v>371</v>
      </c>
      <c r="F256">
        <v>-2000</v>
      </c>
      <c r="G256" t="s">
        <v>473</v>
      </c>
    </row>
    <row r="257" spans="1:7" x14ac:dyDescent="0.3">
      <c r="A257" s="42">
        <v>46180</v>
      </c>
      <c r="B257" s="43">
        <v>0.36828703703703702</v>
      </c>
      <c r="C257" t="s">
        <v>152</v>
      </c>
      <c r="D257" t="s">
        <v>36</v>
      </c>
      <c r="E257" t="s">
        <v>476</v>
      </c>
      <c r="F257">
        <v>-3100</v>
      </c>
      <c r="G257" t="s">
        <v>475</v>
      </c>
    </row>
    <row r="258" spans="1:7" x14ac:dyDescent="0.3">
      <c r="A258" s="42">
        <v>46179</v>
      </c>
      <c r="B258" s="43">
        <v>0.82172453703703707</v>
      </c>
      <c r="C258" t="s">
        <v>155</v>
      </c>
      <c r="D258" t="s">
        <v>155</v>
      </c>
      <c r="E258" t="s">
        <v>166</v>
      </c>
      <c r="F258">
        <v>-16200</v>
      </c>
      <c r="G258" t="s">
        <v>438</v>
      </c>
    </row>
    <row r="259" spans="1:7" x14ac:dyDescent="0.3">
      <c r="A259" s="42">
        <v>46179</v>
      </c>
      <c r="B259" s="43">
        <v>0.55471064814814819</v>
      </c>
      <c r="C259" t="s">
        <v>152</v>
      </c>
      <c r="D259" t="s">
        <v>38</v>
      </c>
      <c r="E259" t="s">
        <v>586</v>
      </c>
      <c r="F259">
        <v>-8000</v>
      </c>
      <c r="G259" t="s">
        <v>473</v>
      </c>
    </row>
    <row r="260" spans="1:7" x14ac:dyDescent="0.3">
      <c r="A260" s="42">
        <v>46179</v>
      </c>
      <c r="B260" s="43">
        <v>0.55453703703703705</v>
      </c>
      <c r="C260" t="s">
        <v>152</v>
      </c>
      <c r="D260" t="s">
        <v>38</v>
      </c>
      <c r="E260" t="s">
        <v>586</v>
      </c>
      <c r="F260">
        <v>16000</v>
      </c>
      <c r="G260" t="s">
        <v>473</v>
      </c>
    </row>
    <row r="261" spans="1:7" x14ac:dyDescent="0.3">
      <c r="A261" s="42">
        <v>46179</v>
      </c>
      <c r="B261" s="43">
        <v>0.53944444444444439</v>
      </c>
      <c r="C261" t="s">
        <v>155</v>
      </c>
      <c r="D261" t="s">
        <v>217</v>
      </c>
      <c r="E261" t="s">
        <v>587</v>
      </c>
      <c r="F261">
        <v>12130</v>
      </c>
      <c r="G261" t="s">
        <v>438</v>
      </c>
    </row>
    <row r="262" spans="1:7" x14ac:dyDescent="0.3">
      <c r="A262" s="42">
        <v>46179</v>
      </c>
      <c r="B262" s="43">
        <v>0.46975694444444438</v>
      </c>
      <c r="C262" t="s">
        <v>152</v>
      </c>
      <c r="D262" t="s">
        <v>38</v>
      </c>
      <c r="E262" t="s">
        <v>586</v>
      </c>
      <c r="F262">
        <v>-16000</v>
      </c>
      <c r="G262" t="s">
        <v>473</v>
      </c>
    </row>
    <row r="263" spans="1:7" x14ac:dyDescent="0.3">
      <c r="A263" s="42">
        <v>46179</v>
      </c>
      <c r="B263" s="43">
        <v>0.37310185185185191</v>
      </c>
      <c r="C263" t="s">
        <v>152</v>
      </c>
      <c r="D263" t="s">
        <v>36</v>
      </c>
      <c r="E263" t="s">
        <v>474</v>
      </c>
      <c r="F263">
        <v>-100</v>
      </c>
      <c r="G263" t="s">
        <v>475</v>
      </c>
    </row>
    <row r="264" spans="1:7" x14ac:dyDescent="0.3">
      <c r="A264" s="42">
        <v>46179</v>
      </c>
      <c r="B264" s="43">
        <v>0.37310185185185191</v>
      </c>
      <c r="C264" t="s">
        <v>152</v>
      </c>
      <c r="D264" t="s">
        <v>36</v>
      </c>
      <c r="E264" t="s">
        <v>569</v>
      </c>
      <c r="F264">
        <v>-3200</v>
      </c>
      <c r="G264" t="s">
        <v>475</v>
      </c>
    </row>
    <row r="265" spans="1:7" x14ac:dyDescent="0.3">
      <c r="A265" s="42">
        <v>46177</v>
      </c>
      <c r="B265" s="43">
        <v>0.4846064814814815</v>
      </c>
      <c r="C265" t="s">
        <v>152</v>
      </c>
      <c r="D265" t="s">
        <v>42</v>
      </c>
      <c r="E265" t="s">
        <v>588</v>
      </c>
      <c r="F265">
        <v>-56800</v>
      </c>
      <c r="G265" t="s">
        <v>473</v>
      </c>
    </row>
    <row r="266" spans="1:7" x14ac:dyDescent="0.3">
      <c r="A266" s="42">
        <v>46176</v>
      </c>
      <c r="B266" s="43">
        <v>0.65138888888888891</v>
      </c>
      <c r="C266" t="s">
        <v>152</v>
      </c>
      <c r="D266" t="s">
        <v>37</v>
      </c>
      <c r="E266" t="s">
        <v>589</v>
      </c>
      <c r="F266">
        <v>-500</v>
      </c>
      <c r="G266" t="s">
        <v>441</v>
      </c>
    </row>
    <row r="267" spans="1:7" x14ac:dyDescent="0.3">
      <c r="A267" s="42">
        <v>46176</v>
      </c>
      <c r="B267" s="43">
        <v>0.65138888888888891</v>
      </c>
      <c r="C267" t="s">
        <v>152</v>
      </c>
      <c r="D267" t="s">
        <v>36</v>
      </c>
      <c r="E267" t="s">
        <v>590</v>
      </c>
      <c r="F267">
        <v>27400</v>
      </c>
      <c r="G267" t="s">
        <v>475</v>
      </c>
    </row>
    <row r="268" spans="1:7" x14ac:dyDescent="0.3">
      <c r="A268" s="42">
        <v>46176</v>
      </c>
      <c r="B268" s="43">
        <v>0.6498842592592593</v>
      </c>
      <c r="C268" t="s">
        <v>152</v>
      </c>
      <c r="D268" t="s">
        <v>36</v>
      </c>
      <c r="E268" t="s">
        <v>591</v>
      </c>
      <c r="F268">
        <v>27400</v>
      </c>
      <c r="G268" t="s">
        <v>415</v>
      </c>
    </row>
    <row r="269" spans="1:7" x14ac:dyDescent="0.3">
      <c r="A269" s="42">
        <v>46176</v>
      </c>
      <c r="B269" s="43">
        <v>0.6498842592592593</v>
      </c>
      <c r="C269" t="s">
        <v>176</v>
      </c>
      <c r="D269" t="s">
        <v>28</v>
      </c>
      <c r="E269" t="s">
        <v>592</v>
      </c>
      <c r="F269">
        <v>500</v>
      </c>
      <c r="G269" t="s">
        <v>441</v>
      </c>
    </row>
    <row r="270" spans="1:7" x14ac:dyDescent="0.3">
      <c r="A270" s="42">
        <v>46176</v>
      </c>
      <c r="B270" s="43">
        <v>0.64987268518518515</v>
      </c>
      <c r="C270" t="s">
        <v>152</v>
      </c>
      <c r="D270" t="s">
        <v>36</v>
      </c>
      <c r="E270" t="s">
        <v>590</v>
      </c>
      <c r="F270">
        <v>-27400</v>
      </c>
      <c r="G270" t="s">
        <v>475</v>
      </c>
    </row>
    <row r="271" spans="1:7" x14ac:dyDescent="0.3">
      <c r="A271" s="42">
        <v>46176</v>
      </c>
      <c r="B271" s="43">
        <v>0.5993518518518518</v>
      </c>
      <c r="C271" t="s">
        <v>152</v>
      </c>
      <c r="D271" t="s">
        <v>50</v>
      </c>
      <c r="E271" t="s">
        <v>353</v>
      </c>
      <c r="F271">
        <v>-26550</v>
      </c>
      <c r="G271" t="s">
        <v>473</v>
      </c>
    </row>
    <row r="272" spans="1:7" x14ac:dyDescent="0.3">
      <c r="A272" s="42">
        <v>46176</v>
      </c>
      <c r="B272" s="43">
        <v>0.4583564814814815</v>
      </c>
      <c r="C272" t="s">
        <v>155</v>
      </c>
      <c r="D272" t="s">
        <v>213</v>
      </c>
      <c r="E272" t="s">
        <v>326</v>
      </c>
      <c r="F272">
        <v>-1043266</v>
      </c>
      <c r="G272" t="s">
        <v>67</v>
      </c>
    </row>
    <row r="273" spans="1:7" x14ac:dyDescent="0.3">
      <c r="A273" s="42">
        <v>46176</v>
      </c>
      <c r="B273" s="43">
        <v>0.45789351851851851</v>
      </c>
      <c r="C273" t="s">
        <v>155</v>
      </c>
      <c r="D273" t="s">
        <v>163</v>
      </c>
      <c r="E273" t="s">
        <v>277</v>
      </c>
      <c r="F273">
        <v>1912000</v>
      </c>
      <c r="G273" t="s">
        <v>67</v>
      </c>
    </row>
    <row r="274" spans="1:7" x14ac:dyDescent="0.3">
      <c r="A274" s="42">
        <v>46176</v>
      </c>
      <c r="B274" s="43">
        <v>0.3963888888888889</v>
      </c>
      <c r="C274" t="s">
        <v>152</v>
      </c>
      <c r="D274" t="s">
        <v>49</v>
      </c>
      <c r="E274" t="s">
        <v>338</v>
      </c>
      <c r="F274">
        <v>-7420</v>
      </c>
      <c r="G274" t="s">
        <v>473</v>
      </c>
    </row>
    <row r="275" spans="1:7" x14ac:dyDescent="0.3">
      <c r="A275" s="42">
        <v>46175</v>
      </c>
      <c r="B275" s="43">
        <v>0.78680555555555554</v>
      </c>
      <c r="C275" t="s">
        <v>152</v>
      </c>
      <c r="D275" t="s">
        <v>37</v>
      </c>
      <c r="E275" t="s">
        <v>492</v>
      </c>
      <c r="F275">
        <v>-3100</v>
      </c>
      <c r="G275" t="s">
        <v>441</v>
      </c>
    </row>
    <row r="276" spans="1:7" x14ac:dyDescent="0.3">
      <c r="A276" s="42">
        <v>46175</v>
      </c>
      <c r="B276" s="43">
        <v>0.78680555555555554</v>
      </c>
      <c r="C276" t="s">
        <v>155</v>
      </c>
      <c r="D276" t="s">
        <v>217</v>
      </c>
      <c r="E276" t="s">
        <v>491</v>
      </c>
      <c r="F276">
        <v>-100</v>
      </c>
      <c r="G276" t="s">
        <v>441</v>
      </c>
    </row>
    <row r="277" spans="1:7" x14ac:dyDescent="0.3">
      <c r="A277" s="42">
        <v>46175</v>
      </c>
      <c r="B277" s="43">
        <v>0.7364236111111111</v>
      </c>
      <c r="C277" t="s">
        <v>152</v>
      </c>
      <c r="D277" t="s">
        <v>42</v>
      </c>
      <c r="E277" t="s">
        <v>593</v>
      </c>
      <c r="F277">
        <v>-22840</v>
      </c>
      <c r="G277" t="s">
        <v>473</v>
      </c>
    </row>
    <row r="278" spans="1:7" x14ac:dyDescent="0.3">
      <c r="A278" s="42">
        <v>46175</v>
      </c>
      <c r="B278" s="43">
        <v>0.53304398148148147</v>
      </c>
      <c r="C278" t="s">
        <v>155</v>
      </c>
      <c r="D278" t="s">
        <v>155</v>
      </c>
      <c r="E278" t="s">
        <v>166</v>
      </c>
      <c r="F278">
        <v>-15000</v>
      </c>
      <c r="G278" t="s">
        <v>438</v>
      </c>
    </row>
    <row r="279" spans="1:7" x14ac:dyDescent="0.3">
      <c r="A279" s="42">
        <v>46175</v>
      </c>
      <c r="B279" s="43">
        <v>0.42127314814814809</v>
      </c>
      <c r="C279" t="s">
        <v>152</v>
      </c>
      <c r="D279" t="s">
        <v>36</v>
      </c>
      <c r="E279" t="s">
        <v>474</v>
      </c>
      <c r="F279">
        <v>-100</v>
      </c>
      <c r="G279" t="s">
        <v>475</v>
      </c>
    </row>
    <row r="280" spans="1:7" x14ac:dyDescent="0.3">
      <c r="A280" s="42">
        <v>46175</v>
      </c>
      <c r="B280" s="43">
        <v>0.42127314814814809</v>
      </c>
      <c r="C280" t="s">
        <v>152</v>
      </c>
      <c r="D280" t="s">
        <v>36</v>
      </c>
      <c r="E280" t="s">
        <v>476</v>
      </c>
      <c r="F280">
        <v>-3100</v>
      </c>
      <c r="G280" t="s">
        <v>475</v>
      </c>
    </row>
    <row r="281" spans="1:7" x14ac:dyDescent="0.3">
      <c r="A281" s="42">
        <v>46174</v>
      </c>
      <c r="B281" s="43">
        <v>0.78706018518518517</v>
      </c>
      <c r="C281" t="s">
        <v>155</v>
      </c>
      <c r="D281" t="s">
        <v>217</v>
      </c>
      <c r="E281" t="s">
        <v>491</v>
      </c>
      <c r="F281">
        <v>-100</v>
      </c>
      <c r="G281" t="s">
        <v>441</v>
      </c>
    </row>
    <row r="282" spans="1:7" x14ac:dyDescent="0.3">
      <c r="A282" s="42">
        <v>46174</v>
      </c>
      <c r="B282" s="43">
        <v>0.78706018518518517</v>
      </c>
      <c r="C282" t="s">
        <v>152</v>
      </c>
      <c r="D282" t="s">
        <v>37</v>
      </c>
      <c r="E282" t="s">
        <v>556</v>
      </c>
      <c r="F282">
        <v>-4650</v>
      </c>
      <c r="G282" t="s">
        <v>441</v>
      </c>
    </row>
    <row r="283" spans="1:7" x14ac:dyDescent="0.3">
      <c r="A283" s="42">
        <v>46174</v>
      </c>
      <c r="B283" s="43">
        <v>0.78706018518518517</v>
      </c>
      <c r="C283" t="s">
        <v>152</v>
      </c>
      <c r="D283" t="s">
        <v>37</v>
      </c>
      <c r="E283" t="s">
        <v>492</v>
      </c>
      <c r="F283">
        <v>-3100</v>
      </c>
      <c r="G283" t="s">
        <v>441</v>
      </c>
    </row>
    <row r="284" spans="1:7" x14ac:dyDescent="0.3">
      <c r="A284" s="42">
        <v>46174</v>
      </c>
      <c r="B284" s="43">
        <v>0.78706018518518517</v>
      </c>
      <c r="C284" t="s">
        <v>152</v>
      </c>
      <c r="D284" t="s">
        <v>37</v>
      </c>
      <c r="E284" t="s">
        <v>556</v>
      </c>
      <c r="F284">
        <v>-2100</v>
      </c>
      <c r="G284" t="s">
        <v>441</v>
      </c>
    </row>
    <row r="285" spans="1:7" x14ac:dyDescent="0.3">
      <c r="A285" s="42">
        <v>46174</v>
      </c>
      <c r="B285" s="43">
        <v>0.78706018518518517</v>
      </c>
      <c r="C285" t="s">
        <v>155</v>
      </c>
      <c r="D285" t="s">
        <v>213</v>
      </c>
      <c r="E285" t="s">
        <v>491</v>
      </c>
      <c r="F285">
        <v>-1650</v>
      </c>
      <c r="G285" t="s">
        <v>441</v>
      </c>
    </row>
    <row r="286" spans="1:7" x14ac:dyDescent="0.3">
      <c r="A286" s="42">
        <v>46174</v>
      </c>
      <c r="B286" s="43">
        <v>0.69415509259259256</v>
      </c>
      <c r="C286" t="s">
        <v>155</v>
      </c>
      <c r="D286" t="s">
        <v>71</v>
      </c>
      <c r="E286" t="s">
        <v>327</v>
      </c>
      <c r="F286">
        <v>-270000</v>
      </c>
      <c r="G286" t="s">
        <v>438</v>
      </c>
    </row>
    <row r="287" spans="1:7" x14ac:dyDescent="0.3">
      <c r="A287" s="42">
        <v>46174</v>
      </c>
      <c r="B287" s="43">
        <v>0.65832175925925929</v>
      </c>
      <c r="C287" t="s">
        <v>152</v>
      </c>
      <c r="D287" t="s">
        <v>37</v>
      </c>
      <c r="E287" t="s">
        <v>480</v>
      </c>
      <c r="F287">
        <v>4400</v>
      </c>
      <c r="G287" t="s">
        <v>481</v>
      </c>
    </row>
    <row r="288" spans="1:7" x14ac:dyDescent="0.3">
      <c r="A288" s="42">
        <v>46174</v>
      </c>
      <c r="B288" s="43">
        <v>0.60499999999999998</v>
      </c>
      <c r="C288" t="s">
        <v>152</v>
      </c>
      <c r="D288" t="s">
        <v>44</v>
      </c>
      <c r="E288" t="s">
        <v>159</v>
      </c>
      <c r="F288">
        <v>-71090</v>
      </c>
      <c r="G288" t="s">
        <v>473</v>
      </c>
    </row>
    <row r="289" spans="1:7" x14ac:dyDescent="0.3">
      <c r="A289" s="42">
        <v>46174</v>
      </c>
      <c r="B289" s="43">
        <v>0.58332175925925922</v>
      </c>
      <c r="C289" t="s">
        <v>152</v>
      </c>
      <c r="D289" t="s">
        <v>37</v>
      </c>
      <c r="E289" t="s">
        <v>480</v>
      </c>
      <c r="F289">
        <v>-4400</v>
      </c>
      <c r="G289" t="s">
        <v>481</v>
      </c>
    </row>
    <row r="290" spans="1:7" x14ac:dyDescent="0.3">
      <c r="A290" s="42">
        <v>46174</v>
      </c>
      <c r="B290" s="43">
        <v>0.43862268518518521</v>
      </c>
      <c r="C290" t="s">
        <v>152</v>
      </c>
      <c r="D290" t="s">
        <v>45</v>
      </c>
      <c r="E290" t="s">
        <v>594</v>
      </c>
      <c r="F290">
        <v>-3400</v>
      </c>
      <c r="G290" t="s">
        <v>473</v>
      </c>
    </row>
    <row r="291" spans="1:7" x14ac:dyDescent="0.3">
      <c r="A291" s="42">
        <v>46174</v>
      </c>
      <c r="B291" s="43">
        <v>0.42986111111111108</v>
      </c>
      <c r="C291" t="s">
        <v>152</v>
      </c>
      <c r="D291" t="s">
        <v>45</v>
      </c>
      <c r="E291" t="s">
        <v>595</v>
      </c>
      <c r="F291">
        <v>-4900</v>
      </c>
      <c r="G291" t="s">
        <v>473</v>
      </c>
    </row>
    <row r="292" spans="1:7" x14ac:dyDescent="0.3">
      <c r="A292" s="42">
        <v>46174</v>
      </c>
      <c r="B292" s="43">
        <v>0.42159722222222218</v>
      </c>
      <c r="C292" t="s">
        <v>176</v>
      </c>
      <c r="D292" t="s">
        <v>29</v>
      </c>
      <c r="E292" t="s">
        <v>527</v>
      </c>
      <c r="F292">
        <v>77100</v>
      </c>
      <c r="G292" t="s">
        <v>438</v>
      </c>
    </row>
    <row r="293" spans="1:7" x14ac:dyDescent="0.3">
      <c r="A293" s="42">
        <v>46174</v>
      </c>
      <c r="B293" s="43">
        <v>0.40310185185185188</v>
      </c>
      <c r="C293" t="s">
        <v>152</v>
      </c>
      <c r="D293" t="s">
        <v>36</v>
      </c>
      <c r="E293" t="s">
        <v>474</v>
      </c>
      <c r="F293">
        <v>-100</v>
      </c>
      <c r="G293" t="s">
        <v>475</v>
      </c>
    </row>
    <row r="294" spans="1:7" x14ac:dyDescent="0.3">
      <c r="A294" s="42">
        <v>46174</v>
      </c>
      <c r="B294" s="43">
        <v>0.40310185185185188</v>
      </c>
      <c r="C294" t="s">
        <v>152</v>
      </c>
      <c r="D294" t="s">
        <v>36</v>
      </c>
      <c r="E294" t="s">
        <v>569</v>
      </c>
      <c r="F294">
        <v>-4650</v>
      </c>
      <c r="G294" t="s">
        <v>475</v>
      </c>
    </row>
    <row r="295" spans="1:7" x14ac:dyDescent="0.3">
      <c r="A295" s="42">
        <v>46174</v>
      </c>
      <c r="B295" s="43">
        <v>0.36378472222222219</v>
      </c>
      <c r="C295" t="s">
        <v>152</v>
      </c>
      <c r="D295" t="s">
        <v>44</v>
      </c>
      <c r="E295" t="s">
        <v>596</v>
      </c>
      <c r="F295">
        <v>-26500</v>
      </c>
      <c r="G295" t="s">
        <v>481</v>
      </c>
    </row>
    <row r="296" spans="1:7" x14ac:dyDescent="0.3">
      <c r="A296" s="42">
        <v>46174</v>
      </c>
      <c r="B296" s="43">
        <v>0.1975462962962963</v>
      </c>
      <c r="C296" t="s">
        <v>176</v>
      </c>
      <c r="D296" t="s">
        <v>28</v>
      </c>
      <c r="E296" t="s">
        <v>528</v>
      </c>
      <c r="F296">
        <v>364</v>
      </c>
      <c r="G296" t="s">
        <v>441</v>
      </c>
    </row>
    <row r="297" spans="1:7" x14ac:dyDescent="0.3">
      <c r="A297" s="42">
        <v>46173</v>
      </c>
      <c r="B297" s="43">
        <v>0.75097222222222226</v>
      </c>
      <c r="C297" t="s">
        <v>152</v>
      </c>
      <c r="D297" t="s">
        <v>42</v>
      </c>
      <c r="E297" t="s">
        <v>411</v>
      </c>
      <c r="F297">
        <v>-32330</v>
      </c>
      <c r="G297" t="s">
        <v>473</v>
      </c>
    </row>
    <row r="298" spans="1:7" x14ac:dyDescent="0.3">
      <c r="A298" s="42">
        <v>46173</v>
      </c>
      <c r="B298" s="43">
        <v>0.4284027777777778</v>
      </c>
      <c r="C298" t="s">
        <v>155</v>
      </c>
      <c r="D298" t="s">
        <v>535</v>
      </c>
      <c r="E298" t="s">
        <v>536</v>
      </c>
      <c r="F298">
        <v>0</v>
      </c>
      <c r="G298" t="s">
        <v>438</v>
      </c>
    </row>
    <row r="299" spans="1:7" x14ac:dyDescent="0.3">
      <c r="A299" s="42">
        <v>46173</v>
      </c>
      <c r="B299" s="43">
        <v>0.37538194444444439</v>
      </c>
      <c r="C299" t="s">
        <v>152</v>
      </c>
      <c r="D299" t="s">
        <v>36</v>
      </c>
      <c r="E299" t="s">
        <v>476</v>
      </c>
      <c r="F299">
        <v>-3100</v>
      </c>
      <c r="G299" t="s">
        <v>475</v>
      </c>
    </row>
    <row r="300" spans="1:7" x14ac:dyDescent="0.3">
      <c r="A300" s="42">
        <v>46172</v>
      </c>
      <c r="B300" s="43">
        <v>0.92437499999999995</v>
      </c>
      <c r="C300" t="s">
        <v>155</v>
      </c>
      <c r="D300" t="s">
        <v>155</v>
      </c>
      <c r="E300" t="s">
        <v>597</v>
      </c>
      <c r="F300">
        <v>-27800</v>
      </c>
      <c r="G300" t="s">
        <v>67</v>
      </c>
    </row>
    <row r="301" spans="1:7" x14ac:dyDescent="0.3">
      <c r="A301" s="42">
        <v>46172</v>
      </c>
      <c r="B301" s="43">
        <v>0.63928240740740738</v>
      </c>
      <c r="C301" t="s">
        <v>152</v>
      </c>
      <c r="D301" t="s">
        <v>49</v>
      </c>
      <c r="E301" t="s">
        <v>338</v>
      </c>
      <c r="F301">
        <v>-7770</v>
      </c>
      <c r="G301" t="s">
        <v>473</v>
      </c>
    </row>
    <row r="302" spans="1:7" x14ac:dyDescent="0.3">
      <c r="A302" s="42">
        <v>46172</v>
      </c>
      <c r="B302" s="43">
        <v>0.57241898148148151</v>
      </c>
      <c r="C302" t="s">
        <v>152</v>
      </c>
      <c r="D302" t="s">
        <v>42</v>
      </c>
      <c r="E302" t="s">
        <v>406</v>
      </c>
      <c r="F302">
        <v>-3500</v>
      </c>
      <c r="G302" t="s">
        <v>182</v>
      </c>
    </row>
    <row r="303" spans="1:7" x14ac:dyDescent="0.3">
      <c r="A303" s="42">
        <v>46172</v>
      </c>
      <c r="B303" s="43">
        <v>0.53140046296296295</v>
      </c>
      <c r="C303" t="s">
        <v>152</v>
      </c>
      <c r="D303" t="s">
        <v>45</v>
      </c>
      <c r="E303" t="s">
        <v>598</v>
      </c>
      <c r="F303">
        <v>-7800</v>
      </c>
      <c r="G303" t="s">
        <v>182</v>
      </c>
    </row>
    <row r="304" spans="1:7" x14ac:dyDescent="0.3">
      <c r="A304" s="42">
        <v>46172</v>
      </c>
      <c r="B304" s="43">
        <v>0.52798611111111116</v>
      </c>
      <c r="C304" t="s">
        <v>152</v>
      </c>
      <c r="D304" t="s">
        <v>45</v>
      </c>
      <c r="E304" t="s">
        <v>599</v>
      </c>
      <c r="F304">
        <v>-9400</v>
      </c>
      <c r="G304" t="s">
        <v>473</v>
      </c>
    </row>
    <row r="305" spans="1:7" x14ac:dyDescent="0.3">
      <c r="A305" s="42">
        <v>46172</v>
      </c>
      <c r="B305" s="43">
        <v>0.45973379629629629</v>
      </c>
      <c r="C305" t="s">
        <v>155</v>
      </c>
      <c r="D305" t="s">
        <v>163</v>
      </c>
      <c r="E305" t="s">
        <v>600</v>
      </c>
      <c r="F305">
        <v>7417</v>
      </c>
      <c r="G305" t="s">
        <v>68</v>
      </c>
    </row>
    <row r="306" spans="1:7" x14ac:dyDescent="0.3">
      <c r="A306" s="42">
        <v>46172</v>
      </c>
      <c r="B306" s="43">
        <v>0.45973379629629629</v>
      </c>
      <c r="C306" t="s">
        <v>155</v>
      </c>
      <c r="D306" t="s">
        <v>163</v>
      </c>
      <c r="E306" t="s">
        <v>68</v>
      </c>
      <c r="F306">
        <v>-7417</v>
      </c>
      <c r="G306" t="s">
        <v>67</v>
      </c>
    </row>
    <row r="307" spans="1:7" x14ac:dyDescent="0.3">
      <c r="A307" s="42">
        <v>46172</v>
      </c>
      <c r="B307" s="43">
        <v>0.37982638888888892</v>
      </c>
      <c r="C307" t="s">
        <v>152</v>
      </c>
      <c r="D307" t="s">
        <v>36</v>
      </c>
      <c r="E307" t="s">
        <v>474</v>
      </c>
      <c r="F307">
        <v>-1650</v>
      </c>
      <c r="G307" t="s">
        <v>475</v>
      </c>
    </row>
    <row r="308" spans="1:7" x14ac:dyDescent="0.3">
      <c r="A308" s="42">
        <v>46172</v>
      </c>
      <c r="B308" s="43">
        <v>0.37982638888888892</v>
      </c>
      <c r="C308" t="s">
        <v>152</v>
      </c>
      <c r="D308" t="s">
        <v>36</v>
      </c>
      <c r="E308" t="s">
        <v>569</v>
      </c>
      <c r="F308">
        <v>-2100</v>
      </c>
      <c r="G308" t="s">
        <v>475</v>
      </c>
    </row>
    <row r="309" spans="1:7" x14ac:dyDescent="0.3">
      <c r="A309" s="42">
        <v>46169</v>
      </c>
      <c r="B309" s="43">
        <v>0.45925925925925931</v>
      </c>
      <c r="C309" t="s">
        <v>155</v>
      </c>
      <c r="D309" t="s">
        <v>163</v>
      </c>
      <c r="E309" t="s">
        <v>223</v>
      </c>
      <c r="F309">
        <v>12</v>
      </c>
      <c r="G309" t="s">
        <v>68</v>
      </c>
    </row>
    <row r="310" spans="1:7" x14ac:dyDescent="0.3">
      <c r="A310" s="42">
        <v>46169</v>
      </c>
      <c r="B310" s="43">
        <v>0.45925925925925931</v>
      </c>
      <c r="C310" t="s">
        <v>155</v>
      </c>
      <c r="D310" t="s">
        <v>163</v>
      </c>
      <c r="E310" t="s">
        <v>68</v>
      </c>
      <c r="F310">
        <v>-12</v>
      </c>
      <c r="G310" t="s">
        <v>67</v>
      </c>
    </row>
    <row r="311" spans="1:7" x14ac:dyDescent="0.3">
      <c r="A311" s="42">
        <v>46169</v>
      </c>
      <c r="B311" s="43">
        <v>0.41243055555555558</v>
      </c>
      <c r="C311" t="s">
        <v>152</v>
      </c>
      <c r="D311" t="s">
        <v>37</v>
      </c>
      <c r="E311" t="s">
        <v>547</v>
      </c>
      <c r="F311">
        <v>-74915</v>
      </c>
      <c r="G311" t="s">
        <v>473</v>
      </c>
    </row>
    <row r="312" spans="1:7" x14ac:dyDescent="0.3">
      <c r="A312" s="42">
        <v>46169</v>
      </c>
      <c r="B312" s="43">
        <v>0.38101851851851848</v>
      </c>
      <c r="C312" t="s">
        <v>155</v>
      </c>
      <c r="D312" t="s">
        <v>155</v>
      </c>
      <c r="E312" t="s">
        <v>559</v>
      </c>
      <c r="F312">
        <v>-228420</v>
      </c>
      <c r="G312" t="s">
        <v>67</v>
      </c>
    </row>
    <row r="313" spans="1:7" x14ac:dyDescent="0.3">
      <c r="A313" s="42">
        <v>46169</v>
      </c>
      <c r="B313" s="43">
        <v>0.25158564814814821</v>
      </c>
      <c r="C313" t="s">
        <v>155</v>
      </c>
      <c r="D313" t="s">
        <v>217</v>
      </c>
      <c r="E313" t="s">
        <v>601</v>
      </c>
      <c r="F313">
        <v>10228420</v>
      </c>
      <c r="G313" t="s">
        <v>67</v>
      </c>
    </row>
    <row r="314" spans="1:7" x14ac:dyDescent="0.3">
      <c r="A314" s="42">
        <v>46169</v>
      </c>
      <c r="B314" s="43">
        <v>0</v>
      </c>
      <c r="C314" t="s">
        <v>152</v>
      </c>
      <c r="D314" t="s">
        <v>37</v>
      </c>
      <c r="E314" t="s">
        <v>602</v>
      </c>
      <c r="F314">
        <v>6000</v>
      </c>
      <c r="G314" t="s">
        <v>473</v>
      </c>
    </row>
    <row r="315" spans="1:7" x14ac:dyDescent="0.3">
      <c r="A315" s="42">
        <v>46168</v>
      </c>
      <c r="B315" s="43">
        <v>0.7867939814814815</v>
      </c>
      <c r="C315" t="s">
        <v>152</v>
      </c>
      <c r="D315" t="s">
        <v>37</v>
      </c>
      <c r="E315" t="s">
        <v>490</v>
      </c>
      <c r="F315">
        <v>-1550</v>
      </c>
      <c r="G315" t="s">
        <v>441</v>
      </c>
    </row>
    <row r="316" spans="1:7" x14ac:dyDescent="0.3">
      <c r="A316" s="42">
        <v>46168</v>
      </c>
      <c r="B316" s="43">
        <v>0.78678240740740746</v>
      </c>
      <c r="C316" t="s">
        <v>155</v>
      </c>
      <c r="D316" t="s">
        <v>213</v>
      </c>
      <c r="E316" t="s">
        <v>491</v>
      </c>
      <c r="F316">
        <v>-1200</v>
      </c>
      <c r="G316" t="s">
        <v>441</v>
      </c>
    </row>
    <row r="317" spans="1:7" x14ac:dyDescent="0.3">
      <c r="A317" s="42">
        <v>46168</v>
      </c>
      <c r="B317" s="43">
        <v>0.78678240740740746</v>
      </c>
      <c r="C317" t="s">
        <v>152</v>
      </c>
      <c r="D317" t="s">
        <v>37</v>
      </c>
      <c r="E317" t="s">
        <v>603</v>
      </c>
      <c r="F317">
        <v>-3950</v>
      </c>
      <c r="G317" t="s">
        <v>441</v>
      </c>
    </row>
    <row r="318" spans="1:7" x14ac:dyDescent="0.3">
      <c r="A318" s="42">
        <v>46168</v>
      </c>
      <c r="B318" s="43">
        <v>0.78678240740740746</v>
      </c>
      <c r="C318" t="s">
        <v>152</v>
      </c>
      <c r="D318" t="s">
        <v>37</v>
      </c>
      <c r="E318" t="s">
        <v>603</v>
      </c>
      <c r="F318">
        <v>-3500</v>
      </c>
      <c r="G318" t="s">
        <v>441</v>
      </c>
    </row>
    <row r="319" spans="1:7" x14ac:dyDescent="0.3">
      <c r="A319" s="42">
        <v>46168</v>
      </c>
      <c r="B319" s="43">
        <v>0.78678240740740746</v>
      </c>
      <c r="C319" t="s">
        <v>155</v>
      </c>
      <c r="D319" t="s">
        <v>213</v>
      </c>
      <c r="E319" t="s">
        <v>491</v>
      </c>
      <c r="F319">
        <v>-1200</v>
      </c>
      <c r="G319" t="s">
        <v>441</v>
      </c>
    </row>
    <row r="320" spans="1:7" x14ac:dyDescent="0.3">
      <c r="A320" s="42">
        <v>46168</v>
      </c>
      <c r="B320" s="43">
        <v>0.78678240740740746</v>
      </c>
      <c r="C320" t="s">
        <v>152</v>
      </c>
      <c r="D320" t="s">
        <v>37</v>
      </c>
      <c r="E320" t="s">
        <v>492</v>
      </c>
      <c r="F320">
        <v>-3100</v>
      </c>
      <c r="G320" t="s">
        <v>441</v>
      </c>
    </row>
    <row r="321" spans="1:7" x14ac:dyDescent="0.3">
      <c r="A321" s="42">
        <v>46168</v>
      </c>
      <c r="B321" s="43">
        <v>0.74190972222222218</v>
      </c>
      <c r="C321" t="s">
        <v>152</v>
      </c>
      <c r="D321" t="s">
        <v>48</v>
      </c>
      <c r="E321" t="s">
        <v>604</v>
      </c>
      <c r="F321">
        <v>-41000</v>
      </c>
      <c r="G321" t="s">
        <v>67</v>
      </c>
    </row>
    <row r="322" spans="1:7" x14ac:dyDescent="0.3">
      <c r="A322" s="42">
        <v>46168</v>
      </c>
      <c r="B322" s="43">
        <v>0.50113425925925925</v>
      </c>
      <c r="C322" t="s">
        <v>155</v>
      </c>
      <c r="D322" t="s">
        <v>292</v>
      </c>
      <c r="E322" t="s">
        <v>552</v>
      </c>
      <c r="F322">
        <v>2000</v>
      </c>
      <c r="G322" t="s">
        <v>441</v>
      </c>
    </row>
    <row r="323" spans="1:7" x14ac:dyDescent="0.3">
      <c r="A323" s="42">
        <v>46168</v>
      </c>
      <c r="B323" s="43">
        <v>0.46633101851851849</v>
      </c>
      <c r="C323" t="s">
        <v>176</v>
      </c>
      <c r="D323" t="s">
        <v>30</v>
      </c>
      <c r="E323" t="s">
        <v>553</v>
      </c>
      <c r="F323">
        <v>18310</v>
      </c>
      <c r="G323" t="s">
        <v>441</v>
      </c>
    </row>
    <row r="324" spans="1:7" x14ac:dyDescent="0.3">
      <c r="A324" s="42">
        <v>46168</v>
      </c>
      <c r="B324" s="43">
        <v>0.41285879629629629</v>
      </c>
      <c r="C324" t="s">
        <v>152</v>
      </c>
      <c r="D324" t="s">
        <v>36</v>
      </c>
      <c r="E324" t="s">
        <v>474</v>
      </c>
      <c r="F324">
        <v>-1200</v>
      </c>
      <c r="G324" t="s">
        <v>475</v>
      </c>
    </row>
    <row r="325" spans="1:7" x14ac:dyDescent="0.3">
      <c r="A325" s="42">
        <v>46168</v>
      </c>
      <c r="B325" s="43">
        <v>0.41285879629629629</v>
      </c>
      <c r="C325" t="s">
        <v>152</v>
      </c>
      <c r="D325" t="s">
        <v>36</v>
      </c>
      <c r="E325" t="s">
        <v>496</v>
      </c>
      <c r="F325">
        <v>-1550</v>
      </c>
      <c r="G325" t="s">
        <v>475</v>
      </c>
    </row>
    <row r="326" spans="1:7" x14ac:dyDescent="0.3">
      <c r="A326" s="42">
        <v>46168</v>
      </c>
      <c r="B326" s="43">
        <v>4.2372685185185187E-2</v>
      </c>
      <c r="C326" t="s">
        <v>152</v>
      </c>
      <c r="D326" t="s">
        <v>48</v>
      </c>
      <c r="E326" t="s">
        <v>605</v>
      </c>
      <c r="F326">
        <v>-251870</v>
      </c>
      <c r="G326" t="s">
        <v>473</v>
      </c>
    </row>
    <row r="327" spans="1:7" x14ac:dyDescent="0.3">
      <c r="A327" s="42">
        <v>46167</v>
      </c>
      <c r="B327" s="43">
        <v>0.37798611111111108</v>
      </c>
      <c r="C327" t="s">
        <v>152</v>
      </c>
      <c r="D327" t="s">
        <v>36</v>
      </c>
      <c r="E327" t="s">
        <v>606</v>
      </c>
      <c r="F327">
        <v>-3950</v>
      </c>
      <c r="G327" t="s">
        <v>475</v>
      </c>
    </row>
    <row r="328" spans="1:7" x14ac:dyDescent="0.3">
      <c r="A328" s="42">
        <v>46166</v>
      </c>
      <c r="B328" s="43">
        <v>0.87623842592592593</v>
      </c>
      <c r="C328" t="s">
        <v>152</v>
      </c>
      <c r="D328" t="s">
        <v>40</v>
      </c>
      <c r="E328" t="s">
        <v>413</v>
      </c>
      <c r="F328">
        <v>-3000</v>
      </c>
      <c r="G328" t="s">
        <v>473</v>
      </c>
    </row>
    <row r="329" spans="1:7" x14ac:dyDescent="0.3">
      <c r="A329" s="42">
        <v>46166</v>
      </c>
      <c r="B329" s="43">
        <v>0.45082175925925932</v>
      </c>
      <c r="C329" t="s">
        <v>152</v>
      </c>
      <c r="D329" t="s">
        <v>37</v>
      </c>
      <c r="E329" t="s">
        <v>602</v>
      </c>
      <c r="F329">
        <v>-6000</v>
      </c>
      <c r="G329" t="s">
        <v>473</v>
      </c>
    </row>
    <row r="330" spans="1:7" x14ac:dyDescent="0.3">
      <c r="A330" s="42">
        <v>46166</v>
      </c>
      <c r="B330" s="43">
        <v>0.37935185185185177</v>
      </c>
      <c r="C330" t="s">
        <v>152</v>
      </c>
      <c r="D330" t="s">
        <v>36</v>
      </c>
      <c r="E330" t="s">
        <v>474</v>
      </c>
      <c r="F330">
        <v>-1200</v>
      </c>
      <c r="G330" t="s">
        <v>475</v>
      </c>
    </row>
    <row r="331" spans="1:7" x14ac:dyDescent="0.3">
      <c r="A331" s="42">
        <v>46166</v>
      </c>
      <c r="B331" s="43">
        <v>0.37935185185185177</v>
      </c>
      <c r="C331" t="s">
        <v>152</v>
      </c>
      <c r="D331" t="s">
        <v>36</v>
      </c>
      <c r="E331" t="s">
        <v>606</v>
      </c>
      <c r="F331">
        <v>-3500</v>
      </c>
      <c r="G331" t="s">
        <v>475</v>
      </c>
    </row>
    <row r="332" spans="1:7" x14ac:dyDescent="0.3">
      <c r="A332" s="42">
        <v>46165</v>
      </c>
      <c r="B332" s="43">
        <v>0.68304398148148149</v>
      </c>
      <c r="C332" t="s">
        <v>152</v>
      </c>
      <c r="D332" t="s">
        <v>49</v>
      </c>
      <c r="E332" t="s">
        <v>607</v>
      </c>
      <c r="F332">
        <v>-30600</v>
      </c>
      <c r="G332" t="s">
        <v>473</v>
      </c>
    </row>
    <row r="333" spans="1:7" x14ac:dyDescent="0.3">
      <c r="A333" s="42">
        <v>46165</v>
      </c>
      <c r="B333" s="43">
        <v>0.5687268518518519</v>
      </c>
      <c r="C333" t="s">
        <v>152</v>
      </c>
      <c r="D333" t="s">
        <v>38</v>
      </c>
      <c r="E333" t="s">
        <v>358</v>
      </c>
      <c r="F333">
        <v>-7500</v>
      </c>
      <c r="G333" t="s">
        <v>473</v>
      </c>
    </row>
    <row r="334" spans="1:7" x14ac:dyDescent="0.3">
      <c r="A334" s="42">
        <v>46165</v>
      </c>
      <c r="B334" s="43">
        <v>0.46834490740740742</v>
      </c>
      <c r="C334" t="s">
        <v>152</v>
      </c>
      <c r="D334" t="s">
        <v>38</v>
      </c>
      <c r="E334" t="s">
        <v>358</v>
      </c>
      <c r="F334">
        <v>-3500</v>
      </c>
      <c r="G334" t="s">
        <v>473</v>
      </c>
    </row>
    <row r="335" spans="1:7" x14ac:dyDescent="0.3">
      <c r="A335" s="42">
        <v>46165</v>
      </c>
      <c r="B335" s="43">
        <v>0.44092592592592589</v>
      </c>
      <c r="C335" t="s">
        <v>152</v>
      </c>
      <c r="D335" t="s">
        <v>38</v>
      </c>
      <c r="E335" t="s">
        <v>358</v>
      </c>
      <c r="F335">
        <v>-75000</v>
      </c>
      <c r="G335" t="s">
        <v>473</v>
      </c>
    </row>
    <row r="336" spans="1:7" x14ac:dyDescent="0.3">
      <c r="A336" s="42">
        <v>46165</v>
      </c>
      <c r="B336" s="43">
        <v>0.37604166666666672</v>
      </c>
      <c r="C336" t="s">
        <v>152</v>
      </c>
      <c r="D336" t="s">
        <v>36</v>
      </c>
      <c r="E336" t="s">
        <v>476</v>
      </c>
      <c r="F336">
        <v>-3100</v>
      </c>
      <c r="G336" t="s">
        <v>475</v>
      </c>
    </row>
    <row r="337" spans="1:7" x14ac:dyDescent="0.3">
      <c r="A337" s="42">
        <v>46165</v>
      </c>
      <c r="B337" s="43">
        <v>0.21511574074074069</v>
      </c>
      <c r="C337" t="s">
        <v>176</v>
      </c>
      <c r="D337" t="s">
        <v>28</v>
      </c>
      <c r="E337" t="s">
        <v>240</v>
      </c>
      <c r="F337">
        <v>24</v>
      </c>
      <c r="G337" t="s">
        <v>67</v>
      </c>
    </row>
    <row r="338" spans="1:7" x14ac:dyDescent="0.3">
      <c r="A338" s="42">
        <v>46165</v>
      </c>
      <c r="B338" s="43">
        <v>0.21208333333333329</v>
      </c>
      <c r="C338" t="s">
        <v>176</v>
      </c>
      <c r="D338" t="s">
        <v>28</v>
      </c>
      <c r="E338" t="s">
        <v>240</v>
      </c>
      <c r="F338">
        <v>69</v>
      </c>
      <c r="G338" t="s">
        <v>67</v>
      </c>
    </row>
    <row r="339" spans="1:7" x14ac:dyDescent="0.3">
      <c r="A339" s="42">
        <v>46165</v>
      </c>
      <c r="B339" s="43">
        <v>0.16597222222222219</v>
      </c>
      <c r="C339" t="s">
        <v>176</v>
      </c>
      <c r="D339" t="s">
        <v>28</v>
      </c>
      <c r="E339" t="s">
        <v>240</v>
      </c>
      <c r="F339">
        <v>102</v>
      </c>
      <c r="G339" t="s">
        <v>67</v>
      </c>
    </row>
    <row r="340" spans="1:7" x14ac:dyDescent="0.3">
      <c r="A340" s="42">
        <v>46165</v>
      </c>
      <c r="B340" s="43">
        <v>0.16153935185185189</v>
      </c>
      <c r="C340" t="s">
        <v>176</v>
      </c>
      <c r="D340" t="s">
        <v>28</v>
      </c>
      <c r="E340" t="s">
        <v>241</v>
      </c>
      <c r="F340">
        <v>0</v>
      </c>
      <c r="G340" t="s">
        <v>63</v>
      </c>
    </row>
    <row r="341" spans="1:7" x14ac:dyDescent="0.3">
      <c r="A341" s="42">
        <v>46165</v>
      </c>
      <c r="B341" s="43">
        <v>0.14021990740740739</v>
      </c>
      <c r="C341" t="s">
        <v>176</v>
      </c>
      <c r="D341" t="s">
        <v>28</v>
      </c>
      <c r="E341" t="s">
        <v>240</v>
      </c>
      <c r="F341">
        <v>0</v>
      </c>
      <c r="G341" t="s">
        <v>67</v>
      </c>
    </row>
    <row r="342" spans="1:7" x14ac:dyDescent="0.3">
      <c r="A342" s="42">
        <v>46165</v>
      </c>
      <c r="B342" s="43">
        <v>0.1176388888888889</v>
      </c>
      <c r="C342" t="s">
        <v>155</v>
      </c>
      <c r="D342" t="s">
        <v>217</v>
      </c>
      <c r="E342" t="s">
        <v>544</v>
      </c>
      <c r="F342">
        <v>2</v>
      </c>
      <c r="G342" t="s">
        <v>436</v>
      </c>
    </row>
    <row r="343" spans="1:7" x14ac:dyDescent="0.3">
      <c r="A343" s="42">
        <v>46165</v>
      </c>
      <c r="B343" s="43">
        <v>9.0555555555555556E-2</v>
      </c>
      <c r="C343" t="s">
        <v>155</v>
      </c>
      <c r="D343" t="s">
        <v>217</v>
      </c>
      <c r="E343" t="s">
        <v>242</v>
      </c>
      <c r="F343">
        <v>253</v>
      </c>
      <c r="G343" t="s">
        <v>68</v>
      </c>
    </row>
    <row r="344" spans="1:7" x14ac:dyDescent="0.3">
      <c r="A344" s="42">
        <v>46165</v>
      </c>
      <c r="B344" s="43">
        <v>9.0509259259259258E-3</v>
      </c>
      <c r="C344" t="s">
        <v>152</v>
      </c>
      <c r="D344" t="s">
        <v>37</v>
      </c>
      <c r="E344" t="s">
        <v>423</v>
      </c>
      <c r="F344">
        <v>-30300</v>
      </c>
      <c r="G344" t="s">
        <v>498</v>
      </c>
    </row>
    <row r="345" spans="1:7" x14ac:dyDescent="0.3">
      <c r="A345" s="42">
        <v>46164</v>
      </c>
      <c r="B345" s="43">
        <v>0.89420138888888889</v>
      </c>
      <c r="C345" t="s">
        <v>152</v>
      </c>
      <c r="D345" t="s">
        <v>38</v>
      </c>
      <c r="E345" t="s">
        <v>408</v>
      </c>
      <c r="F345">
        <v>-1000</v>
      </c>
      <c r="G345" t="s">
        <v>473</v>
      </c>
    </row>
    <row r="346" spans="1:7" x14ac:dyDescent="0.3">
      <c r="A346" s="42">
        <v>46164</v>
      </c>
      <c r="B346" s="43">
        <v>0.78238425925925925</v>
      </c>
      <c r="C346" t="s">
        <v>152</v>
      </c>
      <c r="D346" t="s">
        <v>37</v>
      </c>
      <c r="E346" t="s">
        <v>492</v>
      </c>
      <c r="F346">
        <v>-3100</v>
      </c>
      <c r="G346" t="s">
        <v>441</v>
      </c>
    </row>
    <row r="347" spans="1:7" x14ac:dyDescent="0.3">
      <c r="A347" s="42">
        <v>46164</v>
      </c>
      <c r="B347" s="43">
        <v>0.76290509259259254</v>
      </c>
      <c r="C347" t="s">
        <v>152</v>
      </c>
      <c r="D347" t="s">
        <v>44</v>
      </c>
      <c r="E347" t="s">
        <v>407</v>
      </c>
      <c r="F347">
        <v>-10000</v>
      </c>
      <c r="G347" t="s">
        <v>438</v>
      </c>
    </row>
    <row r="348" spans="1:7" x14ac:dyDescent="0.3">
      <c r="A348" s="42">
        <v>46164</v>
      </c>
      <c r="B348" s="43">
        <v>0.76148148148148154</v>
      </c>
      <c r="C348" t="s">
        <v>155</v>
      </c>
      <c r="D348" t="s">
        <v>217</v>
      </c>
      <c r="E348" t="s">
        <v>608</v>
      </c>
      <c r="F348">
        <v>1</v>
      </c>
      <c r="G348" t="s">
        <v>438</v>
      </c>
    </row>
    <row r="349" spans="1:7" x14ac:dyDescent="0.3">
      <c r="A349" s="42">
        <v>46164</v>
      </c>
      <c r="B349" s="43">
        <v>0.71671296296296294</v>
      </c>
      <c r="C349" t="s">
        <v>155</v>
      </c>
      <c r="D349" t="s">
        <v>155</v>
      </c>
      <c r="E349" t="s">
        <v>166</v>
      </c>
      <c r="F349">
        <v>-32800</v>
      </c>
      <c r="G349" t="s">
        <v>438</v>
      </c>
    </row>
    <row r="350" spans="1:7" x14ac:dyDescent="0.3">
      <c r="A350" s="42">
        <v>46164</v>
      </c>
      <c r="B350" s="43">
        <v>0.40443287037037029</v>
      </c>
      <c r="C350" t="s">
        <v>152</v>
      </c>
      <c r="D350" t="s">
        <v>40</v>
      </c>
      <c r="E350" t="s">
        <v>609</v>
      </c>
      <c r="F350">
        <v>-4020</v>
      </c>
      <c r="G350" t="s">
        <v>473</v>
      </c>
    </row>
    <row r="351" spans="1:7" x14ac:dyDescent="0.3">
      <c r="A351" s="42">
        <v>46164</v>
      </c>
      <c r="B351" s="43">
        <v>0.38082175925925932</v>
      </c>
      <c r="C351" t="s">
        <v>152</v>
      </c>
      <c r="D351" t="s">
        <v>36</v>
      </c>
      <c r="E351" t="s">
        <v>476</v>
      </c>
      <c r="F351">
        <v>-3100</v>
      </c>
      <c r="G351" t="s">
        <v>475</v>
      </c>
    </row>
    <row r="352" spans="1:7" x14ac:dyDescent="0.3">
      <c r="A352" s="42">
        <v>46164</v>
      </c>
      <c r="B352" s="43">
        <v>4.2372685185185187E-2</v>
      </c>
      <c r="C352" t="s">
        <v>152</v>
      </c>
      <c r="D352" t="s">
        <v>48</v>
      </c>
      <c r="E352" t="s">
        <v>251</v>
      </c>
      <c r="F352">
        <v>-300</v>
      </c>
      <c r="G352" t="s">
        <v>473</v>
      </c>
    </row>
    <row r="353" spans="1:7" x14ac:dyDescent="0.3">
      <c r="A353" s="42">
        <v>46163</v>
      </c>
      <c r="B353" s="43">
        <v>0.62572916666666667</v>
      </c>
      <c r="C353" t="s">
        <v>152</v>
      </c>
      <c r="D353" t="s">
        <v>45</v>
      </c>
      <c r="E353" t="s">
        <v>584</v>
      </c>
      <c r="F353">
        <v>-5400</v>
      </c>
      <c r="G353" t="s">
        <v>473</v>
      </c>
    </row>
    <row r="354" spans="1:7" x14ac:dyDescent="0.3">
      <c r="A354" s="42">
        <v>46163</v>
      </c>
      <c r="B354" s="43">
        <v>0.51399305555555552</v>
      </c>
      <c r="C354" t="s">
        <v>152</v>
      </c>
      <c r="D354" t="s">
        <v>42</v>
      </c>
      <c r="E354" t="s">
        <v>610</v>
      </c>
      <c r="F354">
        <v>-39000</v>
      </c>
      <c r="G354" t="s">
        <v>473</v>
      </c>
    </row>
    <row r="355" spans="1:7" x14ac:dyDescent="0.3">
      <c r="A355" s="42">
        <v>46162</v>
      </c>
      <c r="B355" s="43">
        <v>0.62108796296296298</v>
      </c>
      <c r="C355" t="s">
        <v>152</v>
      </c>
      <c r="D355" t="s">
        <v>36</v>
      </c>
      <c r="E355" t="s">
        <v>416</v>
      </c>
      <c r="F355">
        <v>-4800</v>
      </c>
      <c r="G355" t="s">
        <v>473</v>
      </c>
    </row>
    <row r="356" spans="1:7" x14ac:dyDescent="0.3">
      <c r="A356" s="42">
        <v>46162</v>
      </c>
      <c r="B356" s="43">
        <v>0.61266203703703703</v>
      </c>
      <c r="C356" t="s">
        <v>155</v>
      </c>
      <c r="D356" t="s">
        <v>155</v>
      </c>
      <c r="E356" t="s">
        <v>567</v>
      </c>
      <c r="F356">
        <v>-3787800</v>
      </c>
      <c r="G356" t="s">
        <v>438</v>
      </c>
    </row>
    <row r="357" spans="1:7" x14ac:dyDescent="0.3">
      <c r="A357" s="42">
        <v>46162</v>
      </c>
      <c r="B357" s="43">
        <v>0.6114236111111111</v>
      </c>
      <c r="C357" t="s">
        <v>155</v>
      </c>
      <c r="D357" t="s">
        <v>163</v>
      </c>
      <c r="E357" t="s">
        <v>277</v>
      </c>
      <c r="F357">
        <v>500000</v>
      </c>
      <c r="G357" t="s">
        <v>67</v>
      </c>
    </row>
    <row r="358" spans="1:7" x14ac:dyDescent="0.3">
      <c r="A358" s="42">
        <v>46162</v>
      </c>
      <c r="B358" s="43">
        <v>0.61141203703703706</v>
      </c>
      <c r="C358" t="s">
        <v>155</v>
      </c>
      <c r="D358" t="s">
        <v>163</v>
      </c>
      <c r="E358" t="s">
        <v>483</v>
      </c>
      <c r="F358">
        <v>-500000</v>
      </c>
      <c r="G358" t="s">
        <v>438</v>
      </c>
    </row>
    <row r="359" spans="1:7" x14ac:dyDescent="0.3">
      <c r="A359" s="42">
        <v>46162</v>
      </c>
      <c r="B359" s="43">
        <v>0.61059027777777775</v>
      </c>
      <c r="C359" t="s">
        <v>152</v>
      </c>
      <c r="D359" t="s">
        <v>34</v>
      </c>
      <c r="E359" t="s">
        <v>611</v>
      </c>
      <c r="F359">
        <v>-300000</v>
      </c>
      <c r="G359" t="s">
        <v>67</v>
      </c>
    </row>
    <row r="360" spans="1:7" x14ac:dyDescent="0.3">
      <c r="A360" s="42">
        <v>46162</v>
      </c>
      <c r="B360" s="43">
        <v>0.61059027777777775</v>
      </c>
      <c r="C360" t="s">
        <v>155</v>
      </c>
      <c r="D360" t="s">
        <v>163</v>
      </c>
      <c r="E360" t="s">
        <v>277</v>
      </c>
      <c r="F360">
        <v>300000</v>
      </c>
      <c r="G360" t="s">
        <v>440</v>
      </c>
    </row>
    <row r="361" spans="1:7" x14ac:dyDescent="0.3">
      <c r="A361" s="42">
        <v>46162</v>
      </c>
      <c r="B361" s="43">
        <v>0.6091550925925926</v>
      </c>
      <c r="C361" t="s">
        <v>155</v>
      </c>
      <c r="D361" t="s">
        <v>213</v>
      </c>
      <c r="E361" t="s">
        <v>612</v>
      </c>
      <c r="F361">
        <v>-265700</v>
      </c>
      <c r="G361" t="s">
        <v>438</v>
      </c>
    </row>
    <row r="362" spans="1:7" x14ac:dyDescent="0.3">
      <c r="A362" s="42">
        <v>46162</v>
      </c>
      <c r="B362" s="43">
        <v>0.60789351851851847</v>
      </c>
      <c r="C362" t="s">
        <v>155</v>
      </c>
      <c r="D362" t="s">
        <v>213</v>
      </c>
      <c r="E362" t="s">
        <v>583</v>
      </c>
      <c r="F362">
        <v>-128700</v>
      </c>
      <c r="G362" t="s">
        <v>67</v>
      </c>
    </row>
    <row r="363" spans="1:7" x14ac:dyDescent="0.3">
      <c r="A363" s="42">
        <v>46162</v>
      </c>
      <c r="B363" s="43">
        <v>0.43789351851851849</v>
      </c>
      <c r="C363" t="s">
        <v>155</v>
      </c>
      <c r="D363" t="s">
        <v>292</v>
      </c>
      <c r="E363" t="s">
        <v>557</v>
      </c>
      <c r="F363">
        <v>116800</v>
      </c>
      <c r="G363" t="s">
        <v>438</v>
      </c>
    </row>
    <row r="364" spans="1:7" x14ac:dyDescent="0.3">
      <c r="A364" s="42">
        <v>46162</v>
      </c>
      <c r="B364" s="43">
        <v>0.43717592592592591</v>
      </c>
      <c r="C364" t="s">
        <v>176</v>
      </c>
      <c r="D364" t="s">
        <v>29</v>
      </c>
      <c r="E364" t="s">
        <v>527</v>
      </c>
      <c r="F364">
        <v>3671000</v>
      </c>
      <c r="G364" t="s">
        <v>438</v>
      </c>
    </row>
    <row r="365" spans="1:7" x14ac:dyDescent="0.3">
      <c r="A365" s="42">
        <v>46162</v>
      </c>
      <c r="B365" s="43">
        <v>0.42950231481481482</v>
      </c>
      <c r="C365" t="s">
        <v>155</v>
      </c>
      <c r="D365" t="s">
        <v>155</v>
      </c>
      <c r="E365" t="s">
        <v>568</v>
      </c>
      <c r="F365">
        <v>-15000</v>
      </c>
      <c r="G365" t="s">
        <v>67</v>
      </c>
    </row>
    <row r="366" spans="1:7" x14ac:dyDescent="0.3">
      <c r="A366" s="42">
        <v>46162</v>
      </c>
      <c r="B366" s="43">
        <v>0.33746527777777779</v>
      </c>
      <c r="C366" t="s">
        <v>152</v>
      </c>
      <c r="D366" t="s">
        <v>37</v>
      </c>
      <c r="E366" t="s">
        <v>558</v>
      </c>
      <c r="F366">
        <v>-14500</v>
      </c>
      <c r="G366" t="s">
        <v>473</v>
      </c>
    </row>
    <row r="367" spans="1:7" x14ac:dyDescent="0.3">
      <c r="A367" s="42">
        <v>46162</v>
      </c>
      <c r="B367" s="43">
        <v>0.33688657407407407</v>
      </c>
      <c r="C367" t="s">
        <v>152</v>
      </c>
      <c r="D367" t="s">
        <v>37</v>
      </c>
      <c r="E367" t="s">
        <v>558</v>
      </c>
      <c r="F367">
        <v>-50620</v>
      </c>
      <c r="G367" t="s">
        <v>473</v>
      </c>
    </row>
    <row r="368" spans="1:7" x14ac:dyDescent="0.3">
      <c r="A368" s="42">
        <v>46161</v>
      </c>
      <c r="B368" s="43">
        <v>0.7920949074074074</v>
      </c>
      <c r="C368" t="s">
        <v>152</v>
      </c>
      <c r="D368" t="s">
        <v>37</v>
      </c>
      <c r="E368" t="s">
        <v>556</v>
      </c>
      <c r="F368">
        <v>-2200</v>
      </c>
      <c r="G368" t="s">
        <v>441</v>
      </c>
    </row>
    <row r="369" spans="1:7" x14ac:dyDescent="0.3">
      <c r="A369" s="42">
        <v>46161</v>
      </c>
      <c r="B369" s="43">
        <v>0.63208333333333333</v>
      </c>
      <c r="C369" t="s">
        <v>152</v>
      </c>
      <c r="D369" t="s">
        <v>46</v>
      </c>
      <c r="E369" t="s">
        <v>532</v>
      </c>
      <c r="F369">
        <v>-515000</v>
      </c>
      <c r="G369" t="s">
        <v>533</v>
      </c>
    </row>
    <row r="370" spans="1:7" x14ac:dyDescent="0.3">
      <c r="A370" s="42">
        <v>46161</v>
      </c>
      <c r="B370" s="43">
        <v>0.41401620370370368</v>
      </c>
      <c r="C370" t="s">
        <v>152</v>
      </c>
      <c r="D370" t="s">
        <v>36</v>
      </c>
      <c r="E370" t="s">
        <v>569</v>
      </c>
      <c r="F370">
        <v>-2200</v>
      </c>
      <c r="G370" t="s">
        <v>475</v>
      </c>
    </row>
    <row r="371" spans="1:7" x14ac:dyDescent="0.3">
      <c r="A371" s="42">
        <v>46160</v>
      </c>
      <c r="B371" s="43">
        <v>0.78497685185185184</v>
      </c>
      <c r="C371" t="s">
        <v>152</v>
      </c>
      <c r="D371" t="s">
        <v>37</v>
      </c>
      <c r="E371" t="s">
        <v>603</v>
      </c>
      <c r="F371">
        <v>-2000</v>
      </c>
      <c r="G371" t="s">
        <v>441</v>
      </c>
    </row>
    <row r="372" spans="1:7" x14ac:dyDescent="0.3">
      <c r="A372" s="42">
        <v>46160</v>
      </c>
      <c r="B372" s="43">
        <v>0.78497685185185184</v>
      </c>
      <c r="C372" t="s">
        <v>155</v>
      </c>
      <c r="D372" t="s">
        <v>155</v>
      </c>
      <c r="E372" t="s">
        <v>613</v>
      </c>
      <c r="F372">
        <v>-2800</v>
      </c>
      <c r="G372" t="s">
        <v>441</v>
      </c>
    </row>
    <row r="373" spans="1:7" x14ac:dyDescent="0.3">
      <c r="A373" s="42">
        <v>46160</v>
      </c>
      <c r="B373" s="43">
        <v>0.78497685185185184</v>
      </c>
      <c r="C373" t="s">
        <v>152</v>
      </c>
      <c r="D373" t="s">
        <v>37</v>
      </c>
      <c r="E373" t="s">
        <v>492</v>
      </c>
      <c r="F373">
        <v>-3100</v>
      </c>
      <c r="G373" t="s">
        <v>441</v>
      </c>
    </row>
    <row r="374" spans="1:7" x14ac:dyDescent="0.3">
      <c r="A374" s="42">
        <v>46160</v>
      </c>
      <c r="B374" s="43">
        <v>0.7849652777777778</v>
      </c>
      <c r="C374" t="s">
        <v>152</v>
      </c>
      <c r="D374" t="s">
        <v>37</v>
      </c>
      <c r="E374" t="s">
        <v>490</v>
      </c>
      <c r="F374">
        <v>-1550</v>
      </c>
      <c r="G374" t="s">
        <v>441</v>
      </c>
    </row>
    <row r="375" spans="1:7" x14ac:dyDescent="0.3">
      <c r="A375" s="42">
        <v>46160</v>
      </c>
      <c r="B375" s="43">
        <v>0.7849652777777778</v>
      </c>
      <c r="C375" t="s">
        <v>155</v>
      </c>
      <c r="D375" t="s">
        <v>213</v>
      </c>
      <c r="E375" t="s">
        <v>491</v>
      </c>
      <c r="F375">
        <v>-1650</v>
      </c>
      <c r="G375" t="s">
        <v>441</v>
      </c>
    </row>
    <row r="376" spans="1:7" x14ac:dyDescent="0.3">
      <c r="A376" s="42">
        <v>46160</v>
      </c>
      <c r="B376" s="43">
        <v>0.38768518518518519</v>
      </c>
      <c r="C376" t="s">
        <v>152</v>
      </c>
      <c r="D376" t="s">
        <v>36</v>
      </c>
      <c r="E376" t="s">
        <v>614</v>
      </c>
      <c r="F376">
        <v>-2800</v>
      </c>
      <c r="G376" t="s">
        <v>475</v>
      </c>
    </row>
    <row r="377" spans="1:7" x14ac:dyDescent="0.3">
      <c r="A377" s="42">
        <v>46160</v>
      </c>
      <c r="B377" s="43">
        <v>0.38768518518518519</v>
      </c>
      <c r="C377" t="s">
        <v>152</v>
      </c>
      <c r="D377" t="s">
        <v>36</v>
      </c>
      <c r="E377" t="s">
        <v>606</v>
      </c>
      <c r="F377">
        <v>-2000</v>
      </c>
      <c r="G377" t="s">
        <v>475</v>
      </c>
    </row>
    <row r="378" spans="1:7" x14ac:dyDescent="0.3">
      <c r="A378" s="42">
        <v>46159</v>
      </c>
      <c r="B378" s="43">
        <v>0.52604166666666663</v>
      </c>
      <c r="C378" t="s">
        <v>155</v>
      </c>
      <c r="D378" t="s">
        <v>155</v>
      </c>
      <c r="E378" t="s">
        <v>210</v>
      </c>
      <c r="F378">
        <v>100000</v>
      </c>
      <c r="G378" t="s">
        <v>67</v>
      </c>
    </row>
    <row r="379" spans="1:7" x14ac:dyDescent="0.3">
      <c r="A379" s="42">
        <v>46159</v>
      </c>
      <c r="B379" s="43">
        <v>0.37731481481481483</v>
      </c>
      <c r="C379" t="s">
        <v>152</v>
      </c>
      <c r="D379" t="s">
        <v>36</v>
      </c>
      <c r="E379" t="s">
        <v>476</v>
      </c>
      <c r="F379">
        <v>-3100</v>
      </c>
      <c r="G379" t="s">
        <v>475</v>
      </c>
    </row>
    <row r="380" spans="1:7" x14ac:dyDescent="0.3">
      <c r="A380" s="42">
        <v>46159</v>
      </c>
      <c r="B380" s="43">
        <v>0.34811342592592592</v>
      </c>
      <c r="C380" t="s">
        <v>176</v>
      </c>
      <c r="D380" t="s">
        <v>28</v>
      </c>
      <c r="E380" t="s">
        <v>477</v>
      </c>
      <c r="F380">
        <v>0</v>
      </c>
      <c r="G380" t="s">
        <v>435</v>
      </c>
    </row>
    <row r="381" spans="1:7" x14ac:dyDescent="0.3">
      <c r="A381" s="42">
        <v>46158</v>
      </c>
      <c r="B381" s="43">
        <v>0.45921296296296299</v>
      </c>
      <c r="C381" t="s">
        <v>152</v>
      </c>
      <c r="D381" t="s">
        <v>45</v>
      </c>
      <c r="E381" t="s">
        <v>333</v>
      </c>
      <c r="F381">
        <v>-103500</v>
      </c>
      <c r="G381" t="s">
        <v>182</v>
      </c>
    </row>
    <row r="382" spans="1:7" x14ac:dyDescent="0.3">
      <c r="A382" s="42">
        <v>46158</v>
      </c>
      <c r="B382" s="43">
        <v>0.40832175925925918</v>
      </c>
      <c r="C382" t="s">
        <v>176</v>
      </c>
      <c r="D382" t="s">
        <v>28</v>
      </c>
      <c r="E382" t="s">
        <v>273</v>
      </c>
      <c r="F382">
        <v>96</v>
      </c>
      <c r="G382" t="s">
        <v>438</v>
      </c>
    </row>
    <row r="383" spans="1:7" x14ac:dyDescent="0.3">
      <c r="A383" s="42">
        <v>46158</v>
      </c>
      <c r="B383" s="43">
        <v>0.38033564814814808</v>
      </c>
      <c r="C383" t="s">
        <v>152</v>
      </c>
      <c r="D383" t="s">
        <v>36</v>
      </c>
      <c r="E383" t="s">
        <v>474</v>
      </c>
      <c r="F383">
        <v>-1650</v>
      </c>
      <c r="G383" t="s">
        <v>475</v>
      </c>
    </row>
    <row r="384" spans="1:7" x14ac:dyDescent="0.3">
      <c r="A384" s="42">
        <v>46158</v>
      </c>
      <c r="B384" s="43">
        <v>0.38033564814814808</v>
      </c>
      <c r="C384" t="s">
        <v>152</v>
      </c>
      <c r="D384" t="s">
        <v>36</v>
      </c>
      <c r="E384" t="s">
        <v>496</v>
      </c>
      <c r="F384">
        <v>-1550</v>
      </c>
      <c r="G384" t="s">
        <v>475</v>
      </c>
    </row>
    <row r="385" spans="1:7" x14ac:dyDescent="0.3">
      <c r="A385" s="42">
        <v>46157</v>
      </c>
      <c r="B385" s="43">
        <v>0.81541666666666668</v>
      </c>
      <c r="C385" t="s">
        <v>155</v>
      </c>
      <c r="D385" t="s">
        <v>163</v>
      </c>
      <c r="E385" t="s">
        <v>577</v>
      </c>
      <c r="F385">
        <v>97100</v>
      </c>
      <c r="G385" t="s">
        <v>158</v>
      </c>
    </row>
    <row r="386" spans="1:7" x14ac:dyDescent="0.3">
      <c r="A386" s="42">
        <v>46157</v>
      </c>
      <c r="B386" s="43">
        <v>0.81541666666666668</v>
      </c>
      <c r="C386" t="s">
        <v>152</v>
      </c>
      <c r="D386" t="s">
        <v>37</v>
      </c>
      <c r="E386" t="s">
        <v>165</v>
      </c>
      <c r="F386">
        <v>-100000</v>
      </c>
      <c r="G386" t="s">
        <v>158</v>
      </c>
    </row>
    <row r="387" spans="1:7" x14ac:dyDescent="0.3">
      <c r="A387" s="42">
        <v>46157</v>
      </c>
      <c r="B387" s="43">
        <v>0.81541666666666668</v>
      </c>
      <c r="C387" t="s">
        <v>155</v>
      </c>
      <c r="D387" t="s">
        <v>155</v>
      </c>
      <c r="E387" t="s">
        <v>166</v>
      </c>
      <c r="F387">
        <v>-97100</v>
      </c>
      <c r="G387" t="s">
        <v>438</v>
      </c>
    </row>
    <row r="388" spans="1:7" x14ac:dyDescent="0.3">
      <c r="A388" s="42">
        <v>46157</v>
      </c>
      <c r="B388" s="43">
        <v>0.78163194444444439</v>
      </c>
      <c r="C388" t="s">
        <v>152</v>
      </c>
      <c r="D388" t="s">
        <v>37</v>
      </c>
      <c r="E388" t="s">
        <v>492</v>
      </c>
      <c r="F388">
        <v>-3100</v>
      </c>
      <c r="G388" t="s">
        <v>441</v>
      </c>
    </row>
    <row r="389" spans="1:7" x14ac:dyDescent="0.3">
      <c r="A389" s="42">
        <v>46157</v>
      </c>
      <c r="B389" s="43">
        <v>0.50093750000000004</v>
      </c>
      <c r="C389" t="s">
        <v>155</v>
      </c>
      <c r="D389" t="s">
        <v>163</v>
      </c>
      <c r="E389" t="s">
        <v>487</v>
      </c>
      <c r="F389">
        <v>150016</v>
      </c>
      <c r="G389" t="s">
        <v>438</v>
      </c>
    </row>
    <row r="390" spans="1:7" x14ac:dyDescent="0.3">
      <c r="A390" s="42">
        <v>46157</v>
      </c>
      <c r="B390" s="43">
        <v>0.39245370370370369</v>
      </c>
      <c r="C390" t="s">
        <v>152</v>
      </c>
      <c r="D390" t="s">
        <v>36</v>
      </c>
      <c r="E390" t="s">
        <v>476</v>
      </c>
      <c r="F390">
        <v>-3100</v>
      </c>
      <c r="G390" t="s">
        <v>475</v>
      </c>
    </row>
    <row r="391" spans="1:7" x14ac:dyDescent="0.3">
      <c r="A391" s="42">
        <v>46156</v>
      </c>
      <c r="B391" s="43">
        <v>0.96387731481481487</v>
      </c>
      <c r="C391" t="s">
        <v>155</v>
      </c>
      <c r="D391" t="s">
        <v>163</v>
      </c>
      <c r="E391" t="s">
        <v>577</v>
      </c>
      <c r="F391">
        <v>10000</v>
      </c>
      <c r="G391" t="s">
        <v>158</v>
      </c>
    </row>
    <row r="392" spans="1:7" x14ac:dyDescent="0.3">
      <c r="A392" s="42">
        <v>46156</v>
      </c>
      <c r="B392" s="43">
        <v>0.96387731481481487</v>
      </c>
      <c r="C392" t="s">
        <v>155</v>
      </c>
      <c r="D392" t="s">
        <v>155</v>
      </c>
      <c r="E392" t="s">
        <v>615</v>
      </c>
      <c r="F392">
        <v>-23500</v>
      </c>
      <c r="G392" t="s">
        <v>158</v>
      </c>
    </row>
    <row r="393" spans="1:7" x14ac:dyDescent="0.3">
      <c r="A393" s="42">
        <v>46156</v>
      </c>
      <c r="B393" s="43">
        <v>0.96387731481481487</v>
      </c>
      <c r="C393" t="s">
        <v>155</v>
      </c>
      <c r="D393" t="s">
        <v>155</v>
      </c>
      <c r="E393" t="s">
        <v>166</v>
      </c>
      <c r="F393">
        <v>-10000</v>
      </c>
      <c r="G393" t="s">
        <v>438</v>
      </c>
    </row>
    <row r="394" spans="1:7" x14ac:dyDescent="0.3">
      <c r="A394" s="42">
        <v>46156</v>
      </c>
      <c r="B394" s="43">
        <v>0.59373842592592596</v>
      </c>
      <c r="C394" t="s">
        <v>155</v>
      </c>
      <c r="D394" t="s">
        <v>155</v>
      </c>
      <c r="E394" t="s">
        <v>616</v>
      </c>
      <c r="F394">
        <v>16400</v>
      </c>
      <c r="G394" t="s">
        <v>158</v>
      </c>
    </row>
    <row r="395" spans="1:7" x14ac:dyDescent="0.3">
      <c r="A395" s="42">
        <v>46156</v>
      </c>
      <c r="B395" s="43">
        <v>0.54578703703703701</v>
      </c>
      <c r="C395" t="s">
        <v>152</v>
      </c>
      <c r="D395" t="s">
        <v>50</v>
      </c>
      <c r="E395" t="s">
        <v>617</v>
      </c>
      <c r="F395">
        <v>-93220</v>
      </c>
      <c r="G395" t="s">
        <v>481</v>
      </c>
    </row>
    <row r="396" spans="1:7" x14ac:dyDescent="0.3">
      <c r="A396" s="42">
        <v>46156</v>
      </c>
      <c r="B396" s="43">
        <v>0.5158449074074074</v>
      </c>
      <c r="C396" t="s">
        <v>152</v>
      </c>
      <c r="D396" t="s">
        <v>49</v>
      </c>
      <c r="E396" t="s">
        <v>551</v>
      </c>
      <c r="F396">
        <v>-8000</v>
      </c>
      <c r="G396" t="s">
        <v>473</v>
      </c>
    </row>
    <row r="397" spans="1:7" x14ac:dyDescent="0.3">
      <c r="A397" s="42">
        <v>46156</v>
      </c>
      <c r="B397" s="43">
        <v>0.48638888888888893</v>
      </c>
      <c r="C397" t="s">
        <v>152</v>
      </c>
      <c r="D397" t="s">
        <v>42</v>
      </c>
      <c r="E397" t="s">
        <v>618</v>
      </c>
      <c r="F397">
        <v>-32800</v>
      </c>
      <c r="G397" t="s">
        <v>473</v>
      </c>
    </row>
    <row r="398" spans="1:7" x14ac:dyDescent="0.3">
      <c r="A398" s="42">
        <v>46156</v>
      </c>
      <c r="B398" s="43">
        <v>0.2195023148148148</v>
      </c>
      <c r="C398" t="s">
        <v>152</v>
      </c>
      <c r="D398" t="s">
        <v>44</v>
      </c>
      <c r="E398" t="s">
        <v>619</v>
      </c>
      <c r="F398">
        <v>-300</v>
      </c>
      <c r="G398" t="s">
        <v>498</v>
      </c>
    </row>
    <row r="399" spans="1:7" x14ac:dyDescent="0.3">
      <c r="A399" s="42">
        <v>46155</v>
      </c>
      <c r="B399" s="43">
        <v>0.87267361111111108</v>
      </c>
      <c r="C399" t="s">
        <v>155</v>
      </c>
      <c r="D399" t="s">
        <v>155</v>
      </c>
      <c r="E399" t="s">
        <v>567</v>
      </c>
      <c r="F399">
        <v>-44170</v>
      </c>
      <c r="G399" t="s">
        <v>438</v>
      </c>
    </row>
    <row r="400" spans="1:7" x14ac:dyDescent="0.3">
      <c r="A400" s="42">
        <v>46155</v>
      </c>
      <c r="B400" s="43">
        <v>0.84846064814814814</v>
      </c>
      <c r="C400" t="s">
        <v>155</v>
      </c>
      <c r="D400" t="s">
        <v>155</v>
      </c>
      <c r="E400" t="s">
        <v>559</v>
      </c>
      <c r="F400">
        <v>44170</v>
      </c>
      <c r="G400" t="s">
        <v>438</v>
      </c>
    </row>
    <row r="401" spans="1:7" x14ac:dyDescent="0.3">
      <c r="A401" s="42">
        <v>46155</v>
      </c>
      <c r="B401" s="43">
        <v>0.73050925925925925</v>
      </c>
      <c r="C401" t="s">
        <v>152</v>
      </c>
      <c r="D401" t="s">
        <v>37</v>
      </c>
      <c r="E401" t="s">
        <v>620</v>
      </c>
      <c r="F401">
        <v>1000</v>
      </c>
      <c r="G401" t="s">
        <v>475</v>
      </c>
    </row>
    <row r="402" spans="1:7" x14ac:dyDescent="0.3">
      <c r="A402" s="42">
        <v>46155</v>
      </c>
      <c r="B402" s="43">
        <v>0.67425925925925922</v>
      </c>
      <c r="C402" t="s">
        <v>152</v>
      </c>
      <c r="D402" t="s">
        <v>46</v>
      </c>
      <c r="E402" t="s">
        <v>621</v>
      </c>
      <c r="F402">
        <v>-50800</v>
      </c>
      <c r="G402" t="s">
        <v>498</v>
      </c>
    </row>
    <row r="403" spans="1:7" x14ac:dyDescent="0.3">
      <c r="A403" s="42">
        <v>46155</v>
      </c>
      <c r="B403" s="43">
        <v>0.60707175925925927</v>
      </c>
      <c r="C403" t="s">
        <v>152</v>
      </c>
      <c r="D403" t="s">
        <v>37</v>
      </c>
      <c r="E403" t="s">
        <v>620</v>
      </c>
      <c r="F403">
        <v>-1000</v>
      </c>
      <c r="G403" t="s">
        <v>475</v>
      </c>
    </row>
    <row r="404" spans="1:7" x14ac:dyDescent="0.3">
      <c r="A404" s="42">
        <v>46155</v>
      </c>
      <c r="B404" s="43">
        <v>0.1328472222222222</v>
      </c>
      <c r="C404" t="s">
        <v>152</v>
      </c>
      <c r="D404" t="s">
        <v>37</v>
      </c>
      <c r="E404" t="s">
        <v>622</v>
      </c>
      <c r="F404">
        <v>-13501</v>
      </c>
      <c r="G404" t="s">
        <v>438</v>
      </c>
    </row>
    <row r="405" spans="1:7" x14ac:dyDescent="0.3">
      <c r="A405" s="42">
        <v>46153</v>
      </c>
      <c r="B405" s="43">
        <v>0.87054398148148149</v>
      </c>
      <c r="C405" t="s">
        <v>155</v>
      </c>
      <c r="D405" t="s">
        <v>217</v>
      </c>
      <c r="E405" t="s">
        <v>421</v>
      </c>
      <c r="F405">
        <v>-19998732</v>
      </c>
      <c r="G405" t="s">
        <v>440</v>
      </c>
    </row>
    <row r="406" spans="1:7" x14ac:dyDescent="0.3">
      <c r="A406" s="42">
        <v>46153</v>
      </c>
      <c r="B406" s="43">
        <v>0.78372685185185187</v>
      </c>
      <c r="C406" t="s">
        <v>152</v>
      </c>
      <c r="D406" t="s">
        <v>37</v>
      </c>
      <c r="E406" t="s">
        <v>492</v>
      </c>
      <c r="F406">
        <v>-3100</v>
      </c>
      <c r="G406" t="s">
        <v>441</v>
      </c>
    </row>
    <row r="407" spans="1:7" x14ac:dyDescent="0.3">
      <c r="A407" s="42">
        <v>46153</v>
      </c>
      <c r="B407" s="43">
        <v>0.78372685185185187</v>
      </c>
      <c r="C407" t="s">
        <v>152</v>
      </c>
      <c r="D407" t="s">
        <v>37</v>
      </c>
      <c r="E407" t="s">
        <v>556</v>
      </c>
      <c r="F407">
        <v>-3300</v>
      </c>
      <c r="G407" t="s">
        <v>441</v>
      </c>
    </row>
    <row r="408" spans="1:7" x14ac:dyDescent="0.3">
      <c r="A408" s="42">
        <v>46153</v>
      </c>
      <c r="B408" s="43">
        <v>0.69549768518518518</v>
      </c>
      <c r="C408" t="s">
        <v>152</v>
      </c>
      <c r="D408" t="s">
        <v>36</v>
      </c>
      <c r="E408" t="s">
        <v>623</v>
      </c>
      <c r="F408">
        <v>-4850</v>
      </c>
      <c r="G408" t="s">
        <v>441</v>
      </c>
    </row>
    <row r="409" spans="1:7" x14ac:dyDescent="0.3">
      <c r="A409" s="42">
        <v>46153</v>
      </c>
      <c r="B409" s="43">
        <v>0.39476851851851852</v>
      </c>
      <c r="C409" t="s">
        <v>152</v>
      </c>
      <c r="D409" t="s">
        <v>36</v>
      </c>
      <c r="E409" t="s">
        <v>476</v>
      </c>
      <c r="F409">
        <v>-3100</v>
      </c>
      <c r="G409" t="s">
        <v>475</v>
      </c>
    </row>
    <row r="410" spans="1:7" x14ac:dyDescent="0.3">
      <c r="A410" s="42">
        <v>46153</v>
      </c>
      <c r="B410" s="43">
        <v>4.2372685185185187E-2</v>
      </c>
      <c r="C410" t="s">
        <v>152</v>
      </c>
      <c r="D410" t="s">
        <v>48</v>
      </c>
      <c r="E410" t="s">
        <v>311</v>
      </c>
      <c r="F410">
        <v>-104830</v>
      </c>
      <c r="G410" t="s">
        <v>473</v>
      </c>
    </row>
    <row r="411" spans="1:7" x14ac:dyDescent="0.3">
      <c r="A411" s="42">
        <v>46152</v>
      </c>
      <c r="B411" s="43">
        <v>0.65468749999999998</v>
      </c>
      <c r="C411" t="s">
        <v>152</v>
      </c>
      <c r="D411" t="s">
        <v>40</v>
      </c>
      <c r="E411" t="s">
        <v>413</v>
      </c>
      <c r="F411">
        <v>-10000</v>
      </c>
      <c r="G411" t="s">
        <v>473</v>
      </c>
    </row>
    <row r="412" spans="1:7" x14ac:dyDescent="0.3">
      <c r="A412" s="42">
        <v>46152</v>
      </c>
      <c r="B412" s="43">
        <v>0.53015046296296298</v>
      </c>
      <c r="C412" t="s">
        <v>152</v>
      </c>
      <c r="D412" t="s">
        <v>50</v>
      </c>
      <c r="E412" t="s">
        <v>624</v>
      </c>
      <c r="F412">
        <v>-70200</v>
      </c>
      <c r="G412" t="s">
        <v>498</v>
      </c>
    </row>
    <row r="413" spans="1:7" x14ac:dyDescent="0.3">
      <c r="A413" s="42">
        <v>46152</v>
      </c>
      <c r="B413" s="43">
        <v>0.46800925925925918</v>
      </c>
      <c r="C413" t="s">
        <v>152</v>
      </c>
      <c r="D413" t="s">
        <v>49</v>
      </c>
      <c r="E413" t="s">
        <v>288</v>
      </c>
      <c r="F413">
        <v>-3290</v>
      </c>
      <c r="G413" t="s">
        <v>473</v>
      </c>
    </row>
    <row r="414" spans="1:7" x14ac:dyDescent="0.3">
      <c r="A414" s="42">
        <v>46152</v>
      </c>
      <c r="B414" s="43">
        <v>0.46674768518518522</v>
      </c>
      <c r="C414" t="s">
        <v>152</v>
      </c>
      <c r="D414" t="s">
        <v>49</v>
      </c>
      <c r="E414" t="s">
        <v>288</v>
      </c>
      <c r="F414">
        <v>-6620</v>
      </c>
      <c r="G414" t="s">
        <v>473</v>
      </c>
    </row>
    <row r="415" spans="1:7" x14ac:dyDescent="0.3">
      <c r="A415" s="42">
        <v>46152</v>
      </c>
      <c r="B415" s="43">
        <v>0.37491898148148151</v>
      </c>
      <c r="C415" t="s">
        <v>152</v>
      </c>
      <c r="D415" t="s">
        <v>36</v>
      </c>
      <c r="E415" t="s">
        <v>569</v>
      </c>
      <c r="F415">
        <v>-3300</v>
      </c>
      <c r="G415" t="s">
        <v>475</v>
      </c>
    </row>
    <row r="416" spans="1:7" x14ac:dyDescent="0.3">
      <c r="A416" s="42">
        <v>46151</v>
      </c>
      <c r="B416" s="43">
        <v>0.60516203703703708</v>
      </c>
      <c r="C416" t="s">
        <v>152</v>
      </c>
      <c r="D416" t="s">
        <v>40</v>
      </c>
      <c r="E416" t="s">
        <v>625</v>
      </c>
      <c r="F416">
        <v>-2580</v>
      </c>
      <c r="G416" t="s">
        <v>473</v>
      </c>
    </row>
    <row r="417" spans="1:7" x14ac:dyDescent="0.3">
      <c r="A417" s="42">
        <v>46151</v>
      </c>
      <c r="B417" s="43">
        <v>0.46078703703703711</v>
      </c>
      <c r="C417" t="s">
        <v>152</v>
      </c>
      <c r="D417" t="s">
        <v>37</v>
      </c>
      <c r="E417" t="s">
        <v>626</v>
      </c>
      <c r="F417">
        <v>-8000</v>
      </c>
      <c r="G417" t="s">
        <v>67</v>
      </c>
    </row>
    <row r="418" spans="1:7" x14ac:dyDescent="0.3">
      <c r="A418" s="42">
        <v>46151</v>
      </c>
      <c r="B418" s="43">
        <v>0.45887731481481481</v>
      </c>
      <c r="C418" t="s">
        <v>152</v>
      </c>
      <c r="D418" t="s">
        <v>45</v>
      </c>
      <c r="E418" t="s">
        <v>405</v>
      </c>
      <c r="F418">
        <v>-9300</v>
      </c>
      <c r="G418" t="s">
        <v>182</v>
      </c>
    </row>
    <row r="419" spans="1:7" x14ac:dyDescent="0.3">
      <c r="A419" s="42">
        <v>46151</v>
      </c>
      <c r="B419" s="43">
        <v>0.45631944444444439</v>
      </c>
      <c r="C419" t="s">
        <v>152</v>
      </c>
      <c r="D419" t="s">
        <v>45</v>
      </c>
      <c r="E419" t="s">
        <v>333</v>
      </c>
      <c r="F419">
        <v>-83500</v>
      </c>
      <c r="G419" t="s">
        <v>182</v>
      </c>
    </row>
    <row r="420" spans="1:7" x14ac:dyDescent="0.3">
      <c r="A420" s="42">
        <v>46151</v>
      </c>
      <c r="B420" s="43">
        <v>0.45613425925925932</v>
      </c>
      <c r="C420" t="s">
        <v>152</v>
      </c>
      <c r="D420" t="s">
        <v>45</v>
      </c>
      <c r="E420" t="s">
        <v>333</v>
      </c>
      <c r="F420">
        <v>83500</v>
      </c>
      <c r="G420" t="s">
        <v>498</v>
      </c>
    </row>
    <row r="421" spans="1:7" x14ac:dyDescent="0.3">
      <c r="A421" s="42">
        <v>46151</v>
      </c>
      <c r="B421" s="43">
        <v>7.991898148148148E-2</v>
      </c>
      <c r="C421" t="s">
        <v>155</v>
      </c>
      <c r="D421" t="s">
        <v>156</v>
      </c>
      <c r="E421" t="s">
        <v>234</v>
      </c>
      <c r="F421">
        <v>3</v>
      </c>
      <c r="G421" t="s">
        <v>432</v>
      </c>
    </row>
    <row r="422" spans="1:7" x14ac:dyDescent="0.3">
      <c r="A422" s="42">
        <v>46150</v>
      </c>
      <c r="B422" s="43">
        <v>0.86965277777777783</v>
      </c>
      <c r="C422" t="s">
        <v>155</v>
      </c>
      <c r="D422" t="s">
        <v>163</v>
      </c>
      <c r="E422" t="s">
        <v>627</v>
      </c>
      <c r="F422">
        <v>-300000</v>
      </c>
      <c r="G422" t="s">
        <v>67</v>
      </c>
    </row>
    <row r="423" spans="1:7" x14ac:dyDescent="0.3">
      <c r="A423" s="42">
        <v>46150</v>
      </c>
      <c r="B423" s="43">
        <v>0.86965277777777783</v>
      </c>
      <c r="C423" t="s">
        <v>155</v>
      </c>
      <c r="D423" t="s">
        <v>163</v>
      </c>
      <c r="E423" t="s">
        <v>277</v>
      </c>
      <c r="F423">
        <v>300000</v>
      </c>
      <c r="G423" t="s">
        <v>67</v>
      </c>
    </row>
    <row r="424" spans="1:7" x14ac:dyDescent="0.3">
      <c r="A424" s="42">
        <v>46150</v>
      </c>
      <c r="B424" s="43">
        <v>0.78251157407407412</v>
      </c>
      <c r="C424" t="s">
        <v>152</v>
      </c>
      <c r="D424" t="s">
        <v>37</v>
      </c>
      <c r="E424" t="s">
        <v>492</v>
      </c>
      <c r="F424">
        <v>-3100</v>
      </c>
      <c r="G424" t="s">
        <v>441</v>
      </c>
    </row>
    <row r="425" spans="1:7" x14ac:dyDescent="0.3">
      <c r="A425" s="42">
        <v>46150</v>
      </c>
      <c r="B425" s="43">
        <v>0.52625</v>
      </c>
      <c r="C425" t="s">
        <v>152</v>
      </c>
      <c r="D425" t="s">
        <v>38</v>
      </c>
      <c r="E425" t="s">
        <v>628</v>
      </c>
      <c r="F425">
        <v>-70000</v>
      </c>
      <c r="G425" t="s">
        <v>473</v>
      </c>
    </row>
    <row r="426" spans="1:7" x14ac:dyDescent="0.3">
      <c r="A426" s="42">
        <v>46150</v>
      </c>
      <c r="B426" s="43">
        <v>0.3943402777777778</v>
      </c>
      <c r="C426" t="s">
        <v>152</v>
      </c>
      <c r="D426" t="s">
        <v>36</v>
      </c>
      <c r="E426" t="s">
        <v>476</v>
      </c>
      <c r="F426">
        <v>-3100</v>
      </c>
      <c r="G426" t="s">
        <v>475</v>
      </c>
    </row>
    <row r="427" spans="1:7" x14ac:dyDescent="0.3">
      <c r="A427" s="42">
        <v>46149</v>
      </c>
      <c r="B427" s="43">
        <v>0.78549768518518515</v>
      </c>
      <c r="C427" t="s">
        <v>152</v>
      </c>
      <c r="D427" t="s">
        <v>37</v>
      </c>
      <c r="E427" t="s">
        <v>492</v>
      </c>
      <c r="F427">
        <v>-3100</v>
      </c>
      <c r="G427" t="s">
        <v>441</v>
      </c>
    </row>
    <row r="428" spans="1:7" x14ac:dyDescent="0.3">
      <c r="A428" s="42">
        <v>46149</v>
      </c>
      <c r="B428" s="43">
        <v>0.41233796296296299</v>
      </c>
      <c r="C428" t="s">
        <v>152</v>
      </c>
      <c r="D428" t="s">
        <v>47</v>
      </c>
      <c r="E428" t="s">
        <v>629</v>
      </c>
      <c r="F428">
        <v>-50000</v>
      </c>
      <c r="G428" t="s">
        <v>473</v>
      </c>
    </row>
    <row r="429" spans="1:7" x14ac:dyDescent="0.3">
      <c r="A429" s="42">
        <v>46149</v>
      </c>
      <c r="B429" s="43">
        <v>0.40306712962962971</v>
      </c>
      <c r="C429" t="s">
        <v>152</v>
      </c>
      <c r="D429" t="s">
        <v>36</v>
      </c>
      <c r="E429" t="s">
        <v>476</v>
      </c>
      <c r="F429">
        <v>-3100</v>
      </c>
      <c r="G429" t="s">
        <v>475</v>
      </c>
    </row>
    <row r="430" spans="1:7" x14ac:dyDescent="0.3">
      <c r="A430" s="42">
        <v>46149</v>
      </c>
      <c r="B430" s="43">
        <v>1.8819444444444441E-2</v>
      </c>
      <c r="C430" t="s">
        <v>152</v>
      </c>
      <c r="D430" t="s">
        <v>44</v>
      </c>
      <c r="E430" t="s">
        <v>630</v>
      </c>
      <c r="F430">
        <v>-4500</v>
      </c>
      <c r="G430" t="s">
        <v>473</v>
      </c>
    </row>
    <row r="431" spans="1:7" x14ac:dyDescent="0.3">
      <c r="A431" s="42">
        <v>46148</v>
      </c>
      <c r="B431" s="43">
        <v>0.46631944444444451</v>
      </c>
      <c r="C431" t="s">
        <v>152</v>
      </c>
      <c r="D431" t="s">
        <v>44</v>
      </c>
      <c r="E431" t="s">
        <v>383</v>
      </c>
      <c r="F431">
        <v>-20800</v>
      </c>
      <c r="G431" t="s">
        <v>236</v>
      </c>
    </row>
    <row r="432" spans="1:7" x14ac:dyDescent="0.3">
      <c r="A432" s="42">
        <v>46148</v>
      </c>
      <c r="B432" s="43">
        <v>0.46023148148148152</v>
      </c>
      <c r="C432" t="s">
        <v>155</v>
      </c>
      <c r="D432" t="s">
        <v>155</v>
      </c>
      <c r="E432" t="s">
        <v>567</v>
      </c>
      <c r="F432">
        <v>-80870330</v>
      </c>
      <c r="G432" t="s">
        <v>438</v>
      </c>
    </row>
    <row r="433" spans="1:7" x14ac:dyDescent="0.3">
      <c r="A433" s="42">
        <v>46148</v>
      </c>
      <c r="B433" s="43">
        <v>0.42412037037037043</v>
      </c>
      <c r="C433" t="s">
        <v>155</v>
      </c>
      <c r="D433" t="s">
        <v>217</v>
      </c>
      <c r="E433" t="s">
        <v>482</v>
      </c>
      <c r="F433">
        <v>80870330</v>
      </c>
      <c r="G433" t="s">
        <v>438</v>
      </c>
    </row>
    <row r="434" spans="1:7" x14ac:dyDescent="0.3">
      <c r="A434" s="42">
        <v>46148</v>
      </c>
      <c r="B434" s="43">
        <v>0.36071759259259262</v>
      </c>
      <c r="C434" t="s">
        <v>152</v>
      </c>
      <c r="D434" t="s">
        <v>44</v>
      </c>
      <c r="E434" t="s">
        <v>630</v>
      </c>
      <c r="F434">
        <v>-29990</v>
      </c>
      <c r="G434" t="s">
        <v>473</v>
      </c>
    </row>
    <row r="435" spans="1:7" x14ac:dyDescent="0.3">
      <c r="A435" s="42">
        <v>46146</v>
      </c>
      <c r="B435" s="43">
        <v>0.78780092592592588</v>
      </c>
      <c r="C435" t="s">
        <v>152</v>
      </c>
      <c r="D435" t="s">
        <v>37</v>
      </c>
      <c r="E435" t="s">
        <v>492</v>
      </c>
      <c r="F435">
        <v>-3100</v>
      </c>
      <c r="G435" t="s">
        <v>441</v>
      </c>
    </row>
    <row r="436" spans="1:7" x14ac:dyDescent="0.3">
      <c r="A436" s="42">
        <v>46146</v>
      </c>
      <c r="B436" s="43">
        <v>0.78778935185185184</v>
      </c>
      <c r="C436" t="s">
        <v>152</v>
      </c>
      <c r="D436" t="s">
        <v>37</v>
      </c>
      <c r="E436" t="s">
        <v>492</v>
      </c>
      <c r="F436">
        <v>-3100</v>
      </c>
      <c r="G436" t="s">
        <v>441</v>
      </c>
    </row>
    <row r="437" spans="1:7" x14ac:dyDescent="0.3">
      <c r="A437" s="42">
        <v>46146</v>
      </c>
      <c r="B437" s="43">
        <v>0.78778935185185184</v>
      </c>
      <c r="C437" t="s">
        <v>152</v>
      </c>
      <c r="D437" t="s">
        <v>37</v>
      </c>
      <c r="E437" t="s">
        <v>492</v>
      </c>
      <c r="F437">
        <v>-3100</v>
      </c>
      <c r="G437" t="s">
        <v>441</v>
      </c>
    </row>
    <row r="438" spans="1:7" x14ac:dyDescent="0.3">
      <c r="A438" s="42">
        <v>46146</v>
      </c>
      <c r="B438" s="43">
        <v>0.48546296296296299</v>
      </c>
      <c r="C438" t="s">
        <v>152</v>
      </c>
      <c r="D438" t="s">
        <v>42</v>
      </c>
      <c r="E438" t="s">
        <v>631</v>
      </c>
      <c r="F438">
        <v>-16400</v>
      </c>
      <c r="G438" t="s">
        <v>498</v>
      </c>
    </row>
    <row r="439" spans="1:7" x14ac:dyDescent="0.3">
      <c r="A439" s="42">
        <v>46146</v>
      </c>
      <c r="B439" s="43">
        <v>0.44461805555555561</v>
      </c>
      <c r="C439" t="s">
        <v>176</v>
      </c>
      <c r="D439" t="s">
        <v>29</v>
      </c>
      <c r="E439" t="s">
        <v>527</v>
      </c>
      <c r="F439">
        <v>77100</v>
      </c>
      <c r="G439" t="s">
        <v>438</v>
      </c>
    </row>
    <row r="440" spans="1:7" x14ac:dyDescent="0.3">
      <c r="A440" s="42">
        <v>46146</v>
      </c>
      <c r="B440" s="43">
        <v>0.39078703703703699</v>
      </c>
      <c r="C440" t="s">
        <v>152</v>
      </c>
      <c r="D440" t="s">
        <v>36</v>
      </c>
      <c r="E440" t="s">
        <v>476</v>
      </c>
      <c r="F440">
        <v>-3100</v>
      </c>
      <c r="G440" t="s">
        <v>475</v>
      </c>
    </row>
    <row r="441" spans="1:7" x14ac:dyDescent="0.3">
      <c r="A441" s="42">
        <v>46145</v>
      </c>
      <c r="B441" s="43">
        <v>0.94321759259259264</v>
      </c>
      <c r="C441" t="s">
        <v>155</v>
      </c>
      <c r="D441" t="s">
        <v>163</v>
      </c>
      <c r="E441" t="s">
        <v>277</v>
      </c>
      <c r="F441">
        <v>100000</v>
      </c>
      <c r="G441" t="s">
        <v>67</v>
      </c>
    </row>
    <row r="442" spans="1:7" x14ac:dyDescent="0.3">
      <c r="A442" s="42">
        <v>46145</v>
      </c>
      <c r="B442" s="43">
        <v>0.94321759259259264</v>
      </c>
      <c r="C442" t="s">
        <v>155</v>
      </c>
      <c r="D442" t="s">
        <v>163</v>
      </c>
      <c r="E442" t="s">
        <v>277</v>
      </c>
      <c r="F442">
        <v>-100000</v>
      </c>
      <c r="G442" t="s">
        <v>67</v>
      </c>
    </row>
    <row r="443" spans="1:7" x14ac:dyDescent="0.3">
      <c r="A443" s="42">
        <v>46145</v>
      </c>
      <c r="B443" s="43">
        <v>0.9259722222222222</v>
      </c>
      <c r="C443" t="s">
        <v>155</v>
      </c>
      <c r="D443" t="s">
        <v>163</v>
      </c>
      <c r="E443" t="s">
        <v>277</v>
      </c>
      <c r="F443">
        <v>50000</v>
      </c>
      <c r="G443" t="s">
        <v>67</v>
      </c>
    </row>
    <row r="444" spans="1:7" x14ac:dyDescent="0.3">
      <c r="A444" s="42">
        <v>46145</v>
      </c>
      <c r="B444" s="43">
        <v>0.9259722222222222</v>
      </c>
      <c r="C444" t="s">
        <v>155</v>
      </c>
      <c r="D444" t="s">
        <v>163</v>
      </c>
      <c r="E444" t="s">
        <v>483</v>
      </c>
      <c r="F444">
        <v>-50000</v>
      </c>
      <c r="G444" t="s">
        <v>440</v>
      </c>
    </row>
    <row r="445" spans="1:7" x14ac:dyDescent="0.3">
      <c r="A445" s="42">
        <v>46145</v>
      </c>
      <c r="B445" s="43">
        <v>0.92516203703703703</v>
      </c>
      <c r="C445" t="s">
        <v>155</v>
      </c>
      <c r="D445" t="s">
        <v>163</v>
      </c>
      <c r="E445" t="s">
        <v>277</v>
      </c>
      <c r="F445">
        <v>-50000</v>
      </c>
      <c r="G445" t="s">
        <v>67</v>
      </c>
    </row>
    <row r="446" spans="1:7" x14ac:dyDescent="0.3">
      <c r="A446" s="42">
        <v>46145</v>
      </c>
      <c r="B446" s="43">
        <v>0.92516203703703703</v>
      </c>
      <c r="C446" t="s">
        <v>155</v>
      </c>
      <c r="D446" t="s">
        <v>163</v>
      </c>
      <c r="E446" t="s">
        <v>277</v>
      </c>
      <c r="F446">
        <v>50000</v>
      </c>
      <c r="G446" t="s">
        <v>67</v>
      </c>
    </row>
    <row r="447" spans="1:7" x14ac:dyDescent="0.3">
      <c r="A447" s="42">
        <v>46145</v>
      </c>
      <c r="B447" s="43">
        <v>0.92471064814814818</v>
      </c>
      <c r="C447" t="s">
        <v>155</v>
      </c>
      <c r="D447" t="s">
        <v>163</v>
      </c>
      <c r="E447" t="s">
        <v>277</v>
      </c>
      <c r="F447">
        <v>-88500</v>
      </c>
      <c r="G447" t="s">
        <v>67</v>
      </c>
    </row>
    <row r="448" spans="1:7" x14ac:dyDescent="0.3">
      <c r="A448" s="42">
        <v>46145</v>
      </c>
      <c r="B448" s="43">
        <v>0.92471064814814818</v>
      </c>
      <c r="C448" t="s">
        <v>155</v>
      </c>
      <c r="D448" t="s">
        <v>163</v>
      </c>
      <c r="E448" t="s">
        <v>277</v>
      </c>
      <c r="F448">
        <v>88500</v>
      </c>
      <c r="G448" t="s">
        <v>67</v>
      </c>
    </row>
    <row r="449" spans="1:7" x14ac:dyDescent="0.3">
      <c r="A449" s="42">
        <v>46145</v>
      </c>
      <c r="B449" s="43">
        <v>0.90923611111111113</v>
      </c>
      <c r="C449" t="s">
        <v>155</v>
      </c>
      <c r="D449" t="s">
        <v>155</v>
      </c>
      <c r="E449" t="s">
        <v>559</v>
      </c>
      <c r="F449">
        <v>50000</v>
      </c>
      <c r="G449" t="s">
        <v>438</v>
      </c>
    </row>
    <row r="450" spans="1:7" x14ac:dyDescent="0.3">
      <c r="A450" s="42">
        <v>46145</v>
      </c>
      <c r="B450" s="43">
        <v>0.78421296296296295</v>
      </c>
      <c r="C450" t="s">
        <v>152</v>
      </c>
      <c r="D450" t="s">
        <v>42</v>
      </c>
      <c r="E450" t="s">
        <v>419</v>
      </c>
      <c r="F450">
        <v>-110700</v>
      </c>
      <c r="G450" t="s">
        <v>498</v>
      </c>
    </row>
    <row r="451" spans="1:7" x14ac:dyDescent="0.3">
      <c r="A451" s="42">
        <v>46145</v>
      </c>
      <c r="B451" s="43">
        <v>0.62046296296296299</v>
      </c>
      <c r="C451" t="s">
        <v>152</v>
      </c>
      <c r="D451" t="s">
        <v>38</v>
      </c>
      <c r="E451" t="s">
        <v>632</v>
      </c>
      <c r="F451">
        <v>-7500</v>
      </c>
      <c r="G451" t="s">
        <v>498</v>
      </c>
    </row>
    <row r="452" spans="1:7" x14ac:dyDescent="0.3">
      <c r="A452" s="42">
        <v>46145</v>
      </c>
      <c r="B452" s="43">
        <v>0.61628472222222219</v>
      </c>
      <c r="C452" t="s">
        <v>152</v>
      </c>
      <c r="D452" t="s">
        <v>38</v>
      </c>
      <c r="E452" t="s">
        <v>565</v>
      </c>
      <c r="F452">
        <v>-5300</v>
      </c>
      <c r="G452" t="s">
        <v>473</v>
      </c>
    </row>
    <row r="453" spans="1:7" x14ac:dyDescent="0.3">
      <c r="A453" s="42">
        <v>46145</v>
      </c>
      <c r="B453" s="43">
        <v>0.61120370370370369</v>
      </c>
      <c r="C453" t="s">
        <v>152</v>
      </c>
      <c r="D453" t="s">
        <v>50</v>
      </c>
      <c r="E453" t="s">
        <v>633</v>
      </c>
      <c r="F453">
        <v>-92600</v>
      </c>
      <c r="G453" t="s">
        <v>498</v>
      </c>
    </row>
    <row r="454" spans="1:7" x14ac:dyDescent="0.3">
      <c r="A454" s="42">
        <v>46145</v>
      </c>
      <c r="B454" s="43">
        <v>0.59594907407407405</v>
      </c>
      <c r="C454" t="s">
        <v>152</v>
      </c>
      <c r="D454" t="s">
        <v>40</v>
      </c>
      <c r="E454" t="s">
        <v>634</v>
      </c>
      <c r="F454">
        <v>-1500</v>
      </c>
      <c r="G454" t="s">
        <v>473</v>
      </c>
    </row>
    <row r="455" spans="1:7" x14ac:dyDescent="0.3">
      <c r="A455" s="42">
        <v>46145</v>
      </c>
      <c r="B455" s="43">
        <v>0.54576388888888894</v>
      </c>
      <c r="C455" t="s">
        <v>152</v>
      </c>
      <c r="D455" t="s">
        <v>42</v>
      </c>
      <c r="E455" t="s">
        <v>183</v>
      </c>
      <c r="F455">
        <v>-15400</v>
      </c>
      <c r="G455" t="s">
        <v>473</v>
      </c>
    </row>
    <row r="456" spans="1:7" x14ac:dyDescent="0.3">
      <c r="A456" s="42">
        <v>46145</v>
      </c>
      <c r="B456" s="43">
        <v>0.48989583333333331</v>
      </c>
      <c r="C456" t="s">
        <v>152</v>
      </c>
      <c r="D456" t="s">
        <v>39</v>
      </c>
      <c r="E456" t="s">
        <v>635</v>
      </c>
      <c r="F456">
        <v>-10000</v>
      </c>
      <c r="G456" t="s">
        <v>473</v>
      </c>
    </row>
    <row r="457" spans="1:7" x14ac:dyDescent="0.3">
      <c r="A457" s="42">
        <v>46144</v>
      </c>
      <c r="B457" s="43">
        <v>0.58725694444444443</v>
      </c>
      <c r="C457" t="s">
        <v>155</v>
      </c>
      <c r="D457" t="s">
        <v>155</v>
      </c>
      <c r="E457" t="s">
        <v>559</v>
      </c>
      <c r="F457">
        <v>57500</v>
      </c>
      <c r="G457" t="s">
        <v>438</v>
      </c>
    </row>
    <row r="458" spans="1:7" x14ac:dyDescent="0.3">
      <c r="A458" s="42">
        <v>46144</v>
      </c>
      <c r="B458" s="43">
        <v>0.58204861111111106</v>
      </c>
      <c r="C458" t="s">
        <v>152</v>
      </c>
      <c r="D458" t="s">
        <v>44</v>
      </c>
      <c r="E458" t="s">
        <v>636</v>
      </c>
      <c r="F458">
        <v>-57500</v>
      </c>
      <c r="G458" t="s">
        <v>481</v>
      </c>
    </row>
    <row r="459" spans="1:7" x14ac:dyDescent="0.3">
      <c r="A459" s="42">
        <v>46144</v>
      </c>
      <c r="B459" s="43">
        <v>0.4730787037037037</v>
      </c>
      <c r="C459" t="s">
        <v>152</v>
      </c>
      <c r="D459" t="s">
        <v>45</v>
      </c>
      <c r="E459" t="s">
        <v>405</v>
      </c>
      <c r="F459">
        <v>-9300</v>
      </c>
      <c r="G459" t="s">
        <v>182</v>
      </c>
    </row>
    <row r="460" spans="1:7" x14ac:dyDescent="0.3">
      <c r="A460" s="42">
        <v>46144</v>
      </c>
      <c r="B460" s="43">
        <v>0.47089120370370369</v>
      </c>
      <c r="C460" t="s">
        <v>152</v>
      </c>
      <c r="D460" t="s">
        <v>45</v>
      </c>
      <c r="E460" t="s">
        <v>333</v>
      </c>
      <c r="F460">
        <v>-88300</v>
      </c>
      <c r="G460" t="s">
        <v>182</v>
      </c>
    </row>
    <row r="461" spans="1:7" x14ac:dyDescent="0.3">
      <c r="A461" s="42">
        <v>46144</v>
      </c>
      <c r="B461" s="43">
        <v>0.41233796296296299</v>
      </c>
      <c r="C461" t="s">
        <v>152</v>
      </c>
      <c r="D461" t="s">
        <v>36</v>
      </c>
      <c r="E461" t="s">
        <v>476</v>
      </c>
      <c r="F461">
        <v>-3100</v>
      </c>
      <c r="G461" t="s">
        <v>475</v>
      </c>
    </row>
    <row r="462" spans="1:7" x14ac:dyDescent="0.3">
      <c r="A462" s="42">
        <v>46143</v>
      </c>
      <c r="B462" s="43">
        <v>0.74322916666666672</v>
      </c>
      <c r="C462" t="s">
        <v>155</v>
      </c>
      <c r="D462" t="s">
        <v>163</v>
      </c>
      <c r="E462" t="s">
        <v>277</v>
      </c>
      <c r="F462">
        <v>5000000</v>
      </c>
      <c r="G462" t="s">
        <v>440</v>
      </c>
    </row>
    <row r="463" spans="1:7" x14ac:dyDescent="0.3">
      <c r="A463" s="42">
        <v>46143</v>
      </c>
      <c r="B463" s="43">
        <v>0.74322916666666672</v>
      </c>
      <c r="C463" t="s">
        <v>155</v>
      </c>
      <c r="D463" t="s">
        <v>163</v>
      </c>
      <c r="E463" t="s">
        <v>277</v>
      </c>
      <c r="F463">
        <v>-5000000</v>
      </c>
      <c r="G463" t="s">
        <v>438</v>
      </c>
    </row>
    <row r="464" spans="1:7" x14ac:dyDescent="0.3">
      <c r="A464" s="42">
        <v>46143</v>
      </c>
      <c r="B464" s="43">
        <v>0.74289351851851848</v>
      </c>
      <c r="C464" t="s">
        <v>155</v>
      </c>
      <c r="D464" t="s">
        <v>163</v>
      </c>
      <c r="E464" t="s">
        <v>277</v>
      </c>
      <c r="F464">
        <v>1000000</v>
      </c>
      <c r="G464" t="s">
        <v>438</v>
      </c>
    </row>
    <row r="465" spans="1:7" x14ac:dyDescent="0.3">
      <c r="A465" s="42">
        <v>46143</v>
      </c>
      <c r="B465" s="43">
        <v>0.73425925925925928</v>
      </c>
      <c r="C465" t="s">
        <v>152</v>
      </c>
      <c r="D465" t="s">
        <v>44</v>
      </c>
      <c r="E465" t="s">
        <v>395</v>
      </c>
      <c r="F465">
        <v>-270000</v>
      </c>
      <c r="G465" t="s">
        <v>438</v>
      </c>
    </row>
    <row r="466" spans="1:7" x14ac:dyDescent="0.3">
      <c r="A466" s="42">
        <v>46143</v>
      </c>
      <c r="B466" s="43">
        <v>0.73116898148148146</v>
      </c>
      <c r="C466" t="s">
        <v>155</v>
      </c>
      <c r="D466" t="s">
        <v>292</v>
      </c>
      <c r="E466" t="s">
        <v>637</v>
      </c>
      <c r="F466">
        <v>5000000</v>
      </c>
      <c r="G466" t="s">
        <v>438</v>
      </c>
    </row>
    <row r="467" spans="1:7" x14ac:dyDescent="0.3">
      <c r="A467" s="42">
        <v>46143</v>
      </c>
      <c r="B467" s="43">
        <v>0.68</v>
      </c>
      <c r="C467" t="s">
        <v>155</v>
      </c>
      <c r="D467" t="s">
        <v>71</v>
      </c>
      <c r="E467" t="s">
        <v>327</v>
      </c>
      <c r="F467">
        <v>-270000</v>
      </c>
      <c r="G467" t="s">
        <v>438</v>
      </c>
    </row>
    <row r="468" spans="1:7" x14ac:dyDescent="0.3">
      <c r="A468" s="42">
        <v>46143</v>
      </c>
      <c r="B468" s="43">
        <v>0.67942129629629633</v>
      </c>
      <c r="C468" t="s">
        <v>155</v>
      </c>
      <c r="D468" t="s">
        <v>213</v>
      </c>
      <c r="E468" t="s">
        <v>326</v>
      </c>
      <c r="F468">
        <v>-895140</v>
      </c>
      <c r="G468" t="s">
        <v>67</v>
      </c>
    </row>
    <row r="469" spans="1:7" x14ac:dyDescent="0.3">
      <c r="A469" s="42">
        <v>46143</v>
      </c>
      <c r="B469" s="43">
        <v>0.67895833333333333</v>
      </c>
      <c r="C469" t="s">
        <v>155</v>
      </c>
      <c r="D469" t="s">
        <v>163</v>
      </c>
      <c r="E469" t="s">
        <v>277</v>
      </c>
      <c r="F469">
        <v>700000</v>
      </c>
      <c r="G469" t="s">
        <v>67</v>
      </c>
    </row>
    <row r="470" spans="1:7" x14ac:dyDescent="0.3">
      <c r="A470" s="42">
        <v>46143</v>
      </c>
      <c r="B470" s="43">
        <v>0.67895833333333333</v>
      </c>
      <c r="C470" t="s">
        <v>155</v>
      </c>
      <c r="D470" t="s">
        <v>163</v>
      </c>
      <c r="E470" t="s">
        <v>483</v>
      </c>
      <c r="F470">
        <v>-700000</v>
      </c>
      <c r="G470" t="s">
        <v>438</v>
      </c>
    </row>
    <row r="471" spans="1:7" x14ac:dyDescent="0.3">
      <c r="A471" s="42">
        <v>46143</v>
      </c>
      <c r="B471" s="43">
        <v>0.67800925925925926</v>
      </c>
      <c r="C471" t="s">
        <v>155</v>
      </c>
      <c r="D471" t="s">
        <v>163</v>
      </c>
      <c r="E471" t="s">
        <v>277</v>
      </c>
      <c r="F471">
        <v>-500000</v>
      </c>
      <c r="G471" t="s">
        <v>441</v>
      </c>
    </row>
    <row r="472" spans="1:7" x14ac:dyDescent="0.3">
      <c r="A472" s="42">
        <v>46143</v>
      </c>
      <c r="B472" s="43">
        <v>0.67800925925925926</v>
      </c>
      <c r="C472" t="s">
        <v>155</v>
      </c>
      <c r="D472" t="s">
        <v>163</v>
      </c>
      <c r="E472" t="s">
        <v>277</v>
      </c>
      <c r="F472">
        <v>500000</v>
      </c>
      <c r="G472" t="s">
        <v>438</v>
      </c>
    </row>
    <row r="473" spans="1:7" x14ac:dyDescent="0.3">
      <c r="A473" s="42">
        <v>46143</v>
      </c>
      <c r="B473" s="43">
        <v>0.60524305555555558</v>
      </c>
      <c r="C473" t="s">
        <v>152</v>
      </c>
      <c r="D473" t="s">
        <v>49</v>
      </c>
      <c r="E473" t="s">
        <v>638</v>
      </c>
      <c r="F473">
        <v>-2000</v>
      </c>
      <c r="G473" t="s">
        <v>473</v>
      </c>
    </row>
    <row r="474" spans="1:7" x14ac:dyDescent="0.3">
      <c r="A474" s="42">
        <v>46143</v>
      </c>
      <c r="B474" s="43">
        <v>0.4387152777777778</v>
      </c>
      <c r="C474" t="s">
        <v>152</v>
      </c>
      <c r="D474" t="s">
        <v>36</v>
      </c>
      <c r="E474" t="s">
        <v>476</v>
      </c>
      <c r="F474">
        <v>-3100</v>
      </c>
      <c r="G474" t="s">
        <v>475</v>
      </c>
    </row>
    <row r="475" spans="1:7" x14ac:dyDescent="0.3">
      <c r="A475" s="42">
        <v>46143</v>
      </c>
      <c r="B475" s="43">
        <v>0.36269675925925932</v>
      </c>
      <c r="C475" t="s">
        <v>152</v>
      </c>
      <c r="D475" t="s">
        <v>38</v>
      </c>
      <c r="E475" t="s">
        <v>639</v>
      </c>
      <c r="F475">
        <v>-15000</v>
      </c>
      <c r="G475" t="s">
        <v>481</v>
      </c>
    </row>
    <row r="476" spans="1:7" x14ac:dyDescent="0.3">
      <c r="A476" s="42">
        <v>46143</v>
      </c>
      <c r="B476" s="43">
        <v>0.36016203703703698</v>
      </c>
      <c r="C476" t="s">
        <v>152</v>
      </c>
      <c r="D476" t="s">
        <v>38</v>
      </c>
      <c r="E476" t="s">
        <v>639</v>
      </c>
      <c r="F476">
        <v>11000</v>
      </c>
      <c r="G476" t="s">
        <v>481</v>
      </c>
    </row>
    <row r="477" spans="1:7" x14ac:dyDescent="0.3">
      <c r="A477" s="42">
        <v>46143</v>
      </c>
      <c r="B477" s="43">
        <v>0.3363888888888889</v>
      </c>
      <c r="C477" t="s">
        <v>152</v>
      </c>
      <c r="D477" t="s">
        <v>38</v>
      </c>
      <c r="E477" t="s">
        <v>639</v>
      </c>
      <c r="F477">
        <v>10000</v>
      </c>
      <c r="G477" t="s">
        <v>481</v>
      </c>
    </row>
    <row r="478" spans="1:7" x14ac:dyDescent="0.3">
      <c r="A478" s="42">
        <v>46143</v>
      </c>
      <c r="B478" s="43">
        <v>0.30230324074074072</v>
      </c>
      <c r="C478" t="s">
        <v>152</v>
      </c>
      <c r="D478" t="s">
        <v>36</v>
      </c>
      <c r="E478" t="s">
        <v>640</v>
      </c>
      <c r="F478">
        <v>-1750</v>
      </c>
      <c r="G478" t="s">
        <v>475</v>
      </c>
    </row>
    <row r="479" spans="1:7" x14ac:dyDescent="0.3">
      <c r="A479" s="42">
        <v>46143</v>
      </c>
      <c r="B479" s="43">
        <v>0.30230324074074072</v>
      </c>
      <c r="C479" t="s">
        <v>152</v>
      </c>
      <c r="D479" t="s">
        <v>36</v>
      </c>
      <c r="E479" t="s">
        <v>641</v>
      </c>
      <c r="F479">
        <v>-3100</v>
      </c>
      <c r="G479" t="s">
        <v>475</v>
      </c>
    </row>
    <row r="480" spans="1:7" x14ac:dyDescent="0.3">
      <c r="A480" s="42">
        <v>46143</v>
      </c>
      <c r="B480" s="43">
        <v>0.19825231481481481</v>
      </c>
      <c r="C480" t="s">
        <v>176</v>
      </c>
      <c r="D480" t="s">
        <v>28</v>
      </c>
      <c r="E480" t="s">
        <v>528</v>
      </c>
      <c r="F480">
        <v>73</v>
      </c>
      <c r="G480" t="s">
        <v>441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뱅샐현황(재은)</vt:lpstr>
      <vt:lpstr>뱅샐현황(영범)</vt:lpstr>
      <vt:lpstr>가계부 내역(영범)</vt:lpstr>
      <vt:lpstr>가계부 내역(재은)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choi</cp:lastModifiedBy>
  <dcterms:created xsi:type="dcterms:W3CDTF">2026-07-13T09:48:18Z</dcterms:created>
  <dcterms:modified xsi:type="dcterms:W3CDTF">2026-07-27T13:12:37Z</dcterms:modified>
</cp:coreProperties>
</file>