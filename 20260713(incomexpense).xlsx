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블로그\용쨔푸리의 블로그세상\가계부\"/>
    </mc:Choice>
  </mc:AlternateContent>
  <bookViews>
    <workbookView xWindow="240" yWindow="15" windowWidth="16095" windowHeight="9660" activeTab="1"/>
  </bookViews>
  <sheets>
    <sheet name="뱅샐현황" sheetId="1" r:id="rId1"/>
    <sheet name="가계부 내역" sheetId="2" r:id="rId2"/>
  </sheets>
  <calcPr calcId="162913"/>
</workbook>
</file>

<file path=xl/calcChain.xml><?xml version="1.0" encoding="utf-8"?>
<calcChain xmlns="http://schemas.openxmlformats.org/spreadsheetml/2006/main">
  <c r="G106" i="1" l="1"/>
  <c r="F106" i="1"/>
  <c r="D106" i="1"/>
  <c r="H99" i="1"/>
  <c r="G99" i="1"/>
  <c r="F99" i="1"/>
  <c r="F91" i="1"/>
  <c r="I77" i="1"/>
  <c r="E77" i="1"/>
  <c r="B79" i="1" s="1"/>
  <c r="Q36" i="1"/>
  <c r="P36" i="1"/>
  <c r="L36" i="1"/>
  <c r="K36" i="1"/>
  <c r="J36" i="1"/>
  <c r="F36" i="1"/>
  <c r="E36" i="1"/>
  <c r="Q35" i="1"/>
  <c r="P35" i="1"/>
  <c r="O35" i="1"/>
  <c r="N35" i="1"/>
  <c r="M35" i="1"/>
  <c r="L35" i="1"/>
  <c r="K35" i="1"/>
  <c r="J35" i="1"/>
  <c r="I35" i="1"/>
  <c r="H35" i="1"/>
  <c r="G35" i="1"/>
  <c r="C35" i="1" s="1"/>
  <c r="D35" i="1" s="1"/>
  <c r="F35" i="1"/>
  <c r="E35" i="1"/>
  <c r="C34" i="1"/>
  <c r="D34" i="1" s="1"/>
  <c r="D33" i="1"/>
  <c r="C33" i="1"/>
  <c r="C32" i="1"/>
  <c r="D32" i="1" s="1"/>
  <c r="C31" i="1"/>
  <c r="D31" i="1" s="1"/>
  <c r="D30" i="1"/>
  <c r="C30" i="1"/>
  <c r="C29" i="1"/>
  <c r="D29" i="1" s="1"/>
  <c r="C28" i="1"/>
  <c r="D28" i="1" s="1"/>
  <c r="D27" i="1"/>
  <c r="C27" i="1"/>
  <c r="C26" i="1"/>
  <c r="D26" i="1" s="1"/>
  <c r="C25" i="1"/>
  <c r="D25" i="1" s="1"/>
  <c r="D24" i="1"/>
  <c r="C24" i="1"/>
  <c r="C23" i="1"/>
  <c r="D23" i="1" s="1"/>
  <c r="C22" i="1"/>
  <c r="D22" i="1" s="1"/>
  <c r="D21" i="1"/>
  <c r="C21" i="1"/>
  <c r="C20" i="1"/>
  <c r="D20" i="1" s="1"/>
  <c r="C19" i="1"/>
  <c r="D19" i="1" s="1"/>
  <c r="D18" i="1"/>
  <c r="C18" i="1"/>
  <c r="Q17" i="1"/>
  <c r="P17" i="1"/>
  <c r="O17" i="1"/>
  <c r="O36" i="1" s="1"/>
  <c r="N17" i="1"/>
  <c r="N36" i="1" s="1"/>
  <c r="M17" i="1"/>
  <c r="M36" i="1" s="1"/>
  <c r="L17" i="1"/>
  <c r="K17" i="1"/>
  <c r="J17" i="1"/>
  <c r="I17" i="1"/>
  <c r="I36" i="1" s="1"/>
  <c r="H17" i="1"/>
  <c r="C17" i="1" s="1"/>
  <c r="D17" i="1" s="1"/>
  <c r="G17" i="1"/>
  <c r="G36" i="1" s="1"/>
  <c r="F17" i="1"/>
  <c r="E17" i="1"/>
  <c r="D16" i="1"/>
  <c r="C16" i="1"/>
  <c r="C15" i="1"/>
  <c r="D15" i="1" s="1"/>
  <c r="C14" i="1"/>
  <c r="D14" i="1" s="1"/>
  <c r="D13" i="1"/>
  <c r="C13" i="1"/>
  <c r="C12" i="1"/>
  <c r="D12" i="1" s="1"/>
  <c r="H36" i="1" l="1"/>
  <c r="C36" i="1" s="1"/>
  <c r="D36" i="1" s="1"/>
</calcChain>
</file>

<file path=xl/sharedStrings.xml><?xml version="1.0" encoding="utf-8"?>
<sst xmlns="http://schemas.openxmlformats.org/spreadsheetml/2006/main" count="9875" uniqueCount="890">
  <si>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</si>
  <si>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</si>
  <si>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</si>
  <si>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</si>
  <si>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</si>
  <si>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</si>
  <si>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</si>
  <si>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최영범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</si>
  <si>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</si>
  <si>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</si>
  <si>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</si>
  <si>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</si>
  <si>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</si>
  <si>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</si>
  <si>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</si>
  <si>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</si>
  <si>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</si>
  <si>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</si>
  <si>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</si>
  <si>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</si>
  <si>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</si>
  <si>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</si>
  <si>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</si>
  <si>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</si>
  <si>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</si>
  <si>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</si>
  <si>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</si>
  <si>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</si>
  <si>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금융수입</t>
  </si>
  <si>
    <t>급여</t>
  </si>
  <si>
    <t>기타수입</t>
  </si>
  <si>
    <t>사업수입</t>
  </si>
  <si>
    <t>용돈</t>
  </si>
  <si>
    <t>월수입 총계</t>
  </si>
  <si>
    <t>경조/선물</t>
  </si>
  <si>
    <t>교육/학습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</si>
  <si>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</si>
  <si>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</si>
  <si>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</si>
  <si>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</si>
  <si>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</si>
  <si>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</si>
  <si>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</si>
  <si>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</si>
  <si>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</si>
  <si>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</si>
  <si>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자녀/육아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</si>
  <si>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</si>
  <si>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</si>
  <si>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</si>
  <si>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</si>
  <si>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</si>
  <si>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</si>
  <si>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</si>
  <si>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</si>
  <si>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</si>
  <si>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</si>
  <si>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</si>
  <si>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</si>
  <si>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</si>
  <si>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 Star*t통장-저축예금</t>
  </si>
  <si>
    <t>KB Wise통장-저축예금</t>
  </si>
  <si>
    <t>KB국민ONE통장-저축예금</t>
  </si>
  <si>
    <t>MY 입출금통장</t>
  </si>
  <si>
    <t>NH주거래우대통장</t>
  </si>
  <si>
    <t>U드림 저축예금 (인터넷전용)</t>
  </si>
  <si>
    <t>WON 통장</t>
  </si>
  <si>
    <t>입출금통장</t>
  </si>
  <si>
    <t>저금통</t>
  </si>
  <si>
    <t>신탁 자산</t>
  </si>
  <si>
    <t>현금 자산</t>
  </si>
  <si>
    <t>현금</t>
  </si>
  <si>
    <t>저축성 자산</t>
  </si>
  <si>
    <t>NH올원e적금</t>
  </si>
  <si>
    <t>전자금융 자산</t>
  </si>
  <si>
    <t>네이버페이 머니 - ybnj****</t>
  </si>
  <si>
    <t>네이버페이 머니 - tom1****</t>
  </si>
  <si>
    <t>카카오페이 머니 - 010*****427</t>
  </si>
  <si>
    <t>토스머니</t>
  </si>
  <si>
    <t>투자성 자산</t>
  </si>
  <si>
    <t>TIGER 미국S&amp;P500</t>
  </si>
  <si>
    <t>KODEX 차이나테크TOP10</t>
  </si>
  <si>
    <t>100세연금저축펀드</t>
  </si>
  <si>
    <t>CMA계좌</t>
  </si>
  <si>
    <t>기본계좌</t>
  </si>
  <si>
    <t>종합매매</t>
  </si>
  <si>
    <t>종합위탁</t>
  </si>
  <si>
    <t>중개형ISA</t>
  </si>
  <si>
    <t>부동산</t>
  </si>
  <si>
    <t>동산</t>
  </si>
  <si>
    <t>기타 실물 자산</t>
  </si>
  <si>
    <t>보험 자산</t>
  </si>
  <si>
    <t>올인원암_1종처음끝(순수,무)</t>
  </si>
  <si>
    <t>무배당 삼성화재 다이렉트 실손의료비보험(2304.3)</t>
  </si>
  <si>
    <t>삼성생명 실속든든종신보험 (무배당)</t>
  </si>
  <si>
    <t>삼성생명 New퍼펙트상해보험(재가입형,무배당)</t>
  </si>
  <si>
    <t>애니카다이렉트_개인용</t>
  </si>
  <si>
    <t>연금 자산</t>
  </si>
  <si>
    <t>장기대출</t>
  </si>
  <si>
    <t>(주택자금)NH주택담보대출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</si>
  <si>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</si>
  <si>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</si>
  <si>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</si>
  <si>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</si>
  <si>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</si>
  <si>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</si>
  <si>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</si>
  <si>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</si>
  <si>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</si>
  <si>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</si>
  <si>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</si>
  <si>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삼성생명</t>
  </si>
  <si>
    <t>정상</t>
  </si>
  <si>
    <t>삼성화재</t>
  </si>
  <si>
    <t>보유계약건수</t>
  </si>
  <si>
    <t>정상 5건</t>
  </si>
  <si>
    <t>총 납입금</t>
  </si>
  <si>
    <t>총 5건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</si>
  <si>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</si>
  <si>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</si>
  <si>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</si>
  <si>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</si>
  <si>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</si>
  <si>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</si>
  <si>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</si>
  <si>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</si>
  <si>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</si>
  <si>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</si>
  <si>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보유상품개수</t>
  </si>
  <si>
    <t>총 투자 원금</t>
  </si>
  <si>
    <t>총 평가 금액</t>
  </si>
  <si>
    <t>총 수익률</t>
  </si>
  <si>
    <t>총 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</si>
  <si>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</si>
  <si>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</si>
  <si>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</si>
  <si>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</si>
  <si>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</si>
  <si>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</si>
  <si>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</si>
  <si>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</si>
  <si>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</si>
  <si>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농협은행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</si>
  <si>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</si>
  <si>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</si>
  <si>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</si>
  <si>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</si>
  <si>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</si>
  <si>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</si>
  <si>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</si>
  <si>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내용</t>
  </si>
  <si>
    <t>결제수단</t>
  </si>
  <si>
    <t>지출</t>
  </si>
  <si>
    <t>한화손해보험(주)</t>
  </si>
  <si>
    <t>삼성카드 taptap O</t>
  </si>
  <si>
    <t>이체</t>
  </si>
  <si>
    <t>미분류</t>
  </si>
  <si>
    <t>정*오</t>
  </si>
  <si>
    <t>카카오페이 머니</t>
  </si>
  <si>
    <t>인터넷상거래</t>
  </si>
  <si>
    <t>모바일티머니_버스5건</t>
  </si>
  <si>
    <t>K-패스 우리카드(체크)</t>
  </si>
  <si>
    <t>모바일티머니_지하철12건</t>
  </si>
  <si>
    <t>내계좌이체</t>
  </si>
  <si>
    <t>최*범</t>
  </si>
  <si>
    <t>송금 내역</t>
  </si>
  <si>
    <t>카카오페이</t>
  </si>
  <si>
    <t>김*중</t>
  </si>
  <si>
    <t>주식회사아성다이소</t>
  </si>
  <si>
    <t>NH올원더풀카드</t>
  </si>
  <si>
    <t>노브랜드 스타필드시티위례점</t>
  </si>
  <si>
    <t>트레이더스 위례점</t>
  </si>
  <si>
    <t>트레이더스홀세일클럽스타필드시티위례점</t>
  </si>
  <si>
    <t>트레이더스 연회비</t>
  </si>
  <si>
    <t>KB ALL 카드(舊 (신)KB국민 WE:SH All 카드)</t>
  </si>
  <si>
    <t>CU(씨유)올림픽광장점</t>
  </si>
  <si>
    <t>수입</t>
  </si>
  <si>
    <t>(주)신세계사이먼</t>
  </si>
  <si>
    <t>우리체크캐시백</t>
  </si>
  <si>
    <t>LG전자 구독료</t>
  </si>
  <si>
    <t>스페셜 롯데카드(LG전자)</t>
  </si>
  <si>
    <t>키우키우</t>
  </si>
  <si>
    <t>네이버페이 간편결제</t>
  </si>
  <si>
    <t>(주)우아한형제들</t>
  </si>
  <si>
    <t>스티브</t>
  </si>
  <si>
    <t>LG유플러스통신요금</t>
  </si>
  <si>
    <t>네이버 현대카드</t>
  </si>
  <si>
    <t>모바일티머니_지하철13건</t>
  </si>
  <si>
    <t>모바일티머니_버스9건</t>
  </si>
  <si>
    <t>씨유(CU)논현SK점</t>
  </si>
  <si>
    <t>쿠팡(쿠페이)</t>
  </si>
  <si>
    <t>한화손보해약</t>
  </si>
  <si>
    <t>대한민국농수산</t>
  </si>
  <si>
    <t>이*수</t>
  </si>
  <si>
    <t>스마트로_대표비인증</t>
  </si>
  <si>
    <t>스마트로_비인증</t>
  </si>
  <si>
    <t>삼성전자판매(주)토탈케어</t>
  </si>
  <si>
    <t>조*래</t>
  </si>
  <si>
    <t>LABESTO 라베스토</t>
  </si>
  <si>
    <t>네이버페이 간편결제(포인트)</t>
  </si>
  <si>
    <t>메가MGC커피 선물하기</t>
  </si>
  <si>
    <t>현대그린마트</t>
  </si>
  <si>
    <t>맹소미(다옴)</t>
  </si>
  <si>
    <t>드림에너지</t>
  </si>
  <si>
    <t>메가엠지씨커피하남감일백제점</t>
  </si>
  <si>
    <t>한강사</t>
  </si>
  <si>
    <t>씨유(CU)청담퍼스트점</t>
  </si>
  <si>
    <t>케이플러스청담의원</t>
  </si>
  <si>
    <t>소희준</t>
  </si>
  <si>
    <t>세외수입_KICC</t>
  </si>
  <si>
    <t>한은미</t>
  </si>
  <si>
    <t>아이스크림스토리송파오금점</t>
  </si>
  <si>
    <t>최*진</t>
  </si>
  <si>
    <t>카드대금</t>
  </si>
  <si>
    <t>우리카드결제</t>
  </si>
  <si>
    <t>브라운물티슈-스킨케어</t>
  </si>
  <si>
    <t>삼성화재해상보험(주)-앱카드용</t>
  </si>
  <si>
    <t>저축</t>
  </si>
  <si>
    <t>카카오741</t>
  </si>
  <si>
    <t>엄마돈</t>
  </si>
  <si>
    <t>토스466</t>
  </si>
  <si>
    <t>이순기화장실잔금</t>
  </si>
  <si>
    <t>주식회사  유진주유소</t>
  </si>
  <si>
    <t>동전 모으기</t>
  </si>
  <si>
    <t>메가엠지씨커피 하남감일백제점</t>
  </si>
  <si>
    <t>모바일티머니_지하철3건</t>
  </si>
  <si>
    <t>모바일티머니_버스2건</t>
  </si>
  <si>
    <t>아이스  그린오렌지</t>
  </si>
  <si>
    <t>NH562123</t>
  </si>
  <si>
    <t>(주)호텔롯데롯데월드</t>
  </si>
  <si>
    <t>롯데물산(주)</t>
  </si>
  <si>
    <t>롯데물산(주)롯데월드몰점</t>
  </si>
  <si>
    <t>모바일티머니_지하철1건</t>
  </si>
  <si>
    <t>출금 내역</t>
  </si>
  <si>
    <t>입금 내역</t>
  </si>
  <si>
    <t>ALIPAY CONNECT PTE. LTD</t>
  </si>
  <si>
    <t>카카오페이 간편결제</t>
  </si>
  <si>
    <t>네이버0291</t>
  </si>
  <si>
    <t>한승규</t>
  </si>
  <si>
    <t>서울시설공단</t>
  </si>
  <si>
    <t>입출금통장 이자</t>
  </si>
  <si>
    <t>이자</t>
  </si>
  <si>
    <t>저금통 이자</t>
  </si>
  <si>
    <t>모바일티머니_버스1건</t>
  </si>
  <si>
    <t>모바일티머니_지하철4건</t>
  </si>
  <si>
    <t>한화손06022</t>
  </si>
  <si>
    <t>삼성06000</t>
  </si>
  <si>
    <t>삼성06002건</t>
  </si>
  <si>
    <t>코레일유통(울산)</t>
  </si>
  <si>
    <t>아동수당</t>
  </si>
  <si>
    <t>SR</t>
  </si>
  <si>
    <t>바로알림서비스</t>
  </si>
  <si>
    <t>하나로마트  방이역점</t>
  </si>
  <si>
    <t>공공요금</t>
  </si>
  <si>
    <t>삼성화06036</t>
  </si>
  <si>
    <t>삼성화06030</t>
  </si>
  <si>
    <t>현대카드</t>
  </si>
  <si>
    <t>아성다이소</t>
  </si>
  <si>
    <t>대출 3590211</t>
  </si>
  <si>
    <t>네이버페이</t>
  </si>
  <si>
    <t>삼성공식파트너 문성전자</t>
  </si>
  <si>
    <t>네이버파이낸셜</t>
  </si>
  <si>
    <t>부경에스이에스주식회사</t>
  </si>
  <si>
    <t>컴포즈커피구의사거리점</t>
  </si>
  <si>
    <t>식물원복합식당</t>
  </si>
  <si>
    <t>쿠팡(와우 멤버십)</t>
  </si>
  <si>
    <t>디지로카 Paris</t>
  </si>
  <si>
    <t>올스타푸드마켓</t>
  </si>
  <si>
    <t>김치냉장고</t>
  </si>
  <si>
    <t>유진주유소</t>
  </si>
  <si>
    <t>트레이더스위례점</t>
  </si>
  <si>
    <t>NICE_주차장</t>
  </si>
  <si>
    <t>리안헤어하남감일점</t>
  </si>
  <si>
    <t>예금결산이자</t>
  </si>
  <si>
    <t>모바일티머니_지하철2건</t>
  </si>
  <si>
    <t>통장 개설</t>
  </si>
  <si>
    <t>예적금신규</t>
  </si>
  <si>
    <t>강재은</t>
  </si>
  <si>
    <t>김재곤</t>
  </si>
  <si>
    <t>지방세입금1건</t>
  </si>
  <si>
    <t>지자체세입금(온라인)</t>
  </si>
  <si>
    <t>김재형</t>
  </si>
  <si>
    <t>김경남</t>
  </si>
  <si>
    <t>김경옥(보증금반환</t>
  </si>
  <si>
    <t>김경옥(전세보증금반</t>
  </si>
  <si>
    <t>김경옥(장기수선충당</t>
  </si>
  <si>
    <t>인지세고객분</t>
  </si>
  <si>
    <t>국민주택채권</t>
  </si>
  <si>
    <t>스타벅스코리아</t>
  </si>
  <si>
    <t>GS25고덕리엔</t>
  </si>
  <si>
    <t>덮밥장사장상일동역점</t>
  </si>
  <si>
    <t>감일한라비발디입주자</t>
  </si>
  <si>
    <t>투자</t>
  </si>
  <si>
    <t>전세대출환출보증료(7108)</t>
  </si>
  <si>
    <t>대출전액상환(7108)</t>
  </si>
  <si>
    <t>예금(7620)해지</t>
  </si>
  <si>
    <t>에스피씨지에프에스신세계사이먼여주구내식당</t>
  </si>
  <si>
    <t>양*용</t>
  </si>
  <si>
    <t>이케아코리아강동지점가구</t>
  </si>
  <si>
    <t>이케아코리아강동지점레스토랑</t>
  </si>
  <si>
    <t>조준오</t>
  </si>
  <si>
    <t>김홍기</t>
  </si>
  <si>
    <t>신세계사이먼시흥점</t>
  </si>
  <si>
    <t>KHAYDAROV</t>
  </si>
  <si>
    <t>정*엽</t>
  </si>
  <si>
    <t>상천에너지(주)하남풀페이주유소</t>
  </si>
  <si>
    <t>나이스결제대행(주)</t>
  </si>
  <si>
    <t>긴자료쿄 배곧신도시점</t>
  </si>
  <si>
    <t>코원에너지서비스(주)_자동이</t>
  </si>
  <si>
    <t>NICEPAY</t>
  </si>
  <si>
    <t>3820국민카드</t>
  </si>
  <si>
    <t>LGU+  통신</t>
  </si>
  <si>
    <t>한국교통안전공단 강남자동차검사소</t>
  </si>
  <si>
    <t>농협카드307</t>
  </si>
  <si>
    <t>모바일티머니_지하철5건</t>
  </si>
  <si>
    <t>신세계사이먼부산점</t>
  </si>
  <si>
    <t>후레쉬케터링신세계사이먼부산점</t>
  </si>
  <si>
    <t>조*남</t>
  </si>
  <si>
    <t>램프의지니</t>
  </si>
  <si>
    <t>프라움레스토랑</t>
  </si>
  <si>
    <t>롯데카드환불</t>
  </si>
  <si>
    <t>서울더편한치과의원</t>
  </si>
  <si>
    <t>신세계하남점백화점</t>
  </si>
  <si>
    <t>일렉트로마트 스타필드 하남점</t>
  </si>
  <si>
    <t>김*기</t>
  </si>
  <si>
    <t>롯데카드(주)</t>
  </si>
  <si>
    <t>삼성카드</t>
  </si>
  <si>
    <t>경기지역화폐</t>
  </si>
  <si>
    <t>종로광명약국</t>
  </si>
  <si>
    <t>다이소아성산업</t>
  </si>
  <si>
    <t>KCP_결제</t>
  </si>
  <si>
    <t>지에스더프레시개포블레스티지점</t>
  </si>
  <si>
    <t>신한국주유소</t>
  </si>
  <si>
    <t>삼성웰니스의원</t>
  </si>
  <si>
    <t>모바일티머니_기타</t>
  </si>
  <si>
    <t>GS25 제주신화월드점</t>
  </si>
  <si>
    <t>제주신화월드주식회사</t>
  </si>
  <si>
    <t>플레이팅 김해공항 국내선3f</t>
  </si>
  <si>
    <t>스타벅스_주문</t>
  </si>
  <si>
    <t>(주)에스피씨지에프에스 신세계사이먼 여주구내식당</t>
  </si>
  <si>
    <t>메가엠지씨커피 감일수자인점</t>
  </si>
  <si>
    <t>하이패스3109</t>
  </si>
  <si>
    <t>삼성화05035</t>
  </si>
  <si>
    <t>한화손05021</t>
  </si>
  <si>
    <t>삼성화05029</t>
  </si>
  <si>
    <t>삼성05000</t>
  </si>
  <si>
    <t>삼성05002건</t>
  </si>
  <si>
    <t>이영희</t>
  </si>
  <si>
    <t>(주)롯데월드 아쿠아리움</t>
  </si>
  <si>
    <t>이니시스</t>
  </si>
  <si>
    <t>이스타항공_ARS</t>
  </si>
  <si>
    <t>에어부산 주식회사</t>
  </si>
  <si>
    <t>주식회사 스타필드 하남</t>
  </si>
  <si>
    <t>신세계 하남점</t>
  </si>
  <si>
    <t>어썸(awesome)</t>
  </si>
  <si>
    <t>랠리랩(RALLY LAB)</t>
  </si>
  <si>
    <t>(유)아르힐포레첨단주유소</t>
  </si>
  <si>
    <t>(주)졸스</t>
  </si>
  <si>
    <t>조원관광진흥(주)</t>
  </si>
  <si>
    <t>주식회사 졸스</t>
  </si>
  <si>
    <t>조원관광진흥</t>
  </si>
  <si>
    <t>이마트24인재개발원점</t>
  </si>
  <si>
    <t>이마트푸드마켓고덕점</t>
  </si>
  <si>
    <t>봄날약국</t>
  </si>
  <si>
    <t>고덕성심소아청소년과의원</t>
  </si>
  <si>
    <t>모바일티머니_지하철8건</t>
  </si>
  <si>
    <t>대출상환(7108)</t>
  </si>
  <si>
    <t>메가엠지씨커피학동사거리점</t>
  </si>
  <si>
    <t>메가엠지씨커피 학동사거리점</t>
  </si>
  <si>
    <t>데일리라이크</t>
  </si>
  <si>
    <t>롯데ON</t>
  </si>
  <si>
    <t>서울특별시강동구도시관리공단 암사선사유적지</t>
  </si>
  <si>
    <t>주식회사 카카오모빌리티</t>
  </si>
  <si>
    <t>예금 신규</t>
  </si>
  <si>
    <t>해뜨는주유소</t>
  </si>
  <si>
    <t>옥션</t>
  </si>
  <si>
    <t>FRANKLiiN 프랭클린</t>
  </si>
  <si>
    <t>롯데카드2605</t>
  </si>
  <si>
    <t>LF몰</t>
  </si>
  <si>
    <t>타르틴 베이커리 청담점</t>
  </si>
  <si>
    <t>LF몰_NICEP</t>
  </si>
  <si>
    <t>최*영</t>
  </si>
  <si>
    <t>플로리아</t>
  </si>
  <si>
    <t>주식회사 카카오</t>
  </si>
  <si>
    <t>트립닷컴</t>
  </si>
  <si>
    <t>고덕스타약국</t>
  </si>
  <si>
    <t>지에스25 석촌희망점</t>
  </si>
  <si>
    <t>오로라</t>
  </si>
  <si>
    <t>맘스터치LAB 도산대로점</t>
  </si>
  <si>
    <t>우정사업본부(우체국)</t>
  </si>
  <si>
    <t>강재은 퇴직금</t>
  </si>
  <si>
    <t>온스헤어 상일동역점</t>
  </si>
  <si>
    <t>이마트 푸드마켓 고덕점</t>
  </si>
  <si>
    <t>이케아코리아 유한회사 강동지점 가구</t>
  </si>
  <si>
    <t>이케아코리아</t>
  </si>
  <si>
    <t>온누리충전</t>
  </si>
  <si>
    <t>세외수입_KPN</t>
  </si>
  <si>
    <t>사월에보리밥과쭈꾸미송파오금점</t>
  </si>
  <si>
    <t>뉴발란스 키즈 공식몰</t>
  </si>
  <si>
    <t>인터넷상거래_4</t>
  </si>
  <si>
    <t>베베숲</t>
  </si>
  <si>
    <t>서울정의원</t>
  </si>
  <si>
    <t>서울올림픽기념국민체육진흥공단</t>
  </si>
  <si>
    <t>노원기차마을</t>
  </si>
  <si>
    <t>익스프레스노원바이미라쥬</t>
  </si>
  <si>
    <t>리프레쉬커피</t>
  </si>
  <si>
    <t>한화손04020</t>
  </si>
  <si>
    <t>삼성04000</t>
  </si>
  <si>
    <t>삼성04002건</t>
  </si>
  <si>
    <t>지에스25 고덕리엔</t>
  </si>
  <si>
    <t>판타스틱코인노래연습장</t>
  </si>
  <si>
    <t>컴포즈커피 하남감일중앙점</t>
  </si>
  <si>
    <t>오*준</t>
  </si>
  <si>
    <t>씨유 양평남한강점</t>
  </si>
  <si>
    <t>굼프로 곤충체험학습장</t>
  </si>
  <si>
    <t>감일튼튼약국</t>
  </si>
  <si>
    <t>지후쌀과자</t>
  </si>
  <si>
    <t>삼성화04034</t>
  </si>
  <si>
    <t>삼성화04028</t>
  </si>
  <si>
    <t>씨엔티테크(주)</t>
  </si>
  <si>
    <t>정씨함박 배곧신도시점</t>
  </si>
  <si>
    <t>나이스정보통신 주식회사</t>
  </si>
  <si>
    <t>강재은 생활안정자금</t>
  </si>
  <si>
    <t>지에스칼텍스 (주)동서울주유소</t>
  </si>
  <si>
    <t>지에스(GS)25 고덕리엔점</t>
  </si>
  <si>
    <t>트레이더스 하남점</t>
  </si>
  <si>
    <t>메가엠지씨커피  선릉현대타워점</t>
  </si>
  <si>
    <t>국가유산청(유포러스)</t>
  </si>
  <si>
    <t>이마트 에브리데이 하남감일점</t>
  </si>
  <si>
    <t>오퍼스240 하남감일점</t>
  </si>
  <si>
    <t>스마일페이</t>
  </si>
  <si>
    <t>박정태</t>
  </si>
  <si>
    <t>커피빈코리아 영동고앞점</t>
  </si>
  <si>
    <t>롯데카드2604</t>
  </si>
  <si>
    <t>코레일유통주식회사(울산역)</t>
  </si>
  <si>
    <t>부산프리미엄아울렛</t>
  </si>
  <si>
    <t>주식회사 후레쉬케터링</t>
  </si>
  <si>
    <t>쁘띠엘린스토어</t>
  </si>
  <si>
    <t>조*현</t>
  </si>
  <si>
    <t>(주)더고움</t>
  </si>
  <si>
    <t>부타시니세 정관점</t>
  </si>
  <si>
    <t>몬스터피크닉</t>
  </si>
  <si>
    <t>NHNKCP</t>
  </si>
  <si>
    <t>한국결제_세외수입(비인증</t>
  </si>
  <si>
    <t>코스트코코리아</t>
  </si>
  <si>
    <t>한국맥도날드하남시청DT점</t>
  </si>
  <si>
    <t>재단법인세미원</t>
  </si>
  <si>
    <t>세븐일레븐수서역사5호점</t>
  </si>
  <si>
    <t>구도일서하남주유소</t>
  </si>
  <si>
    <t>매머드익스프레스상일동리엔파크점</t>
  </si>
  <si>
    <t>윤경양식</t>
  </si>
  <si>
    <t>강재은 주택자금</t>
  </si>
  <si>
    <t>김경옥전세보증계약금</t>
  </si>
  <si>
    <t>(주)신세계사이먼파주점</t>
  </si>
  <si>
    <t>세븐일레븐 수서역사1호점</t>
  </si>
  <si>
    <t>(주)다이소아성산업</t>
  </si>
  <si>
    <t>파리바게뜨 고덕리엔파크점</t>
  </si>
  <si>
    <t>핏제리아루카 구리갈매점</t>
  </si>
  <si>
    <t>수풀림아쿠아카페</t>
  </si>
  <si>
    <t>(주)능마을 보금자리주유소</t>
  </si>
  <si>
    <t>모바일티머니_지하철6건</t>
  </si>
  <si>
    <t>씨유(CU) 미사스카이점</t>
  </si>
  <si>
    <t>옥된장미사스카이폴리스점</t>
  </si>
  <si>
    <t>sk 쉴더스_주차료</t>
  </si>
  <si>
    <t>철도승차권결제</t>
  </si>
  <si>
    <t>이마트24 강일푸르내점</t>
  </si>
  <si>
    <t>한화손03019</t>
  </si>
  <si>
    <t>삼성03000</t>
  </si>
  <si>
    <t>삼성03002건</t>
  </si>
  <si>
    <t>달달 구리 아이스크림</t>
  </si>
  <si>
    <t>삼성화03033</t>
  </si>
  <si>
    <t>삼성화03027</t>
  </si>
  <si>
    <t>생활 팩토리</t>
  </si>
  <si>
    <t>쿠팡(와우멤버십)</t>
  </si>
  <si>
    <t>(주)파리크라상 파리크라상 키친 올림픽공원점</t>
  </si>
  <si>
    <t>에치와이</t>
  </si>
  <si>
    <t>CJ ONSTYLE</t>
  </si>
  <si>
    <t>(사)대한심폐소생협</t>
  </si>
  <si>
    <t>롯데카드2603</t>
  </si>
  <si>
    <t>위틀스토어</t>
  </si>
  <si>
    <t>최선영</t>
  </si>
  <si>
    <t>쿠팡이츠</t>
  </si>
  <si>
    <t>세외수입_KICC인터넷</t>
  </si>
  <si>
    <t>코리아세븐고덕리앤파크점</t>
  </si>
  <si>
    <t>씨유(CU) 한강버스옥수점</t>
  </si>
  <si>
    <t>이마트24강일푸르내점</t>
  </si>
  <si>
    <t>지에스칼텍스동서울주유소</t>
  </si>
  <si>
    <t>하이오문정SKV1점</t>
  </si>
  <si>
    <t>한*미</t>
  </si>
  <si>
    <t>김나미</t>
  </si>
  <si>
    <t>뽀로로테마파크다산위드트래블</t>
  </si>
  <si>
    <t>버거킹하남감일점</t>
  </si>
  <si>
    <t>우리생협 상일점</t>
  </si>
  <si>
    <t>김경옥임대차종료확인</t>
  </si>
  <si>
    <t>김경옥(임대차종료ᄒ</t>
  </si>
  <si>
    <t>돼지저금통</t>
  </si>
  <si>
    <t>웅골손두부</t>
  </si>
  <si>
    <t>743407**66   ,2603-127회차</t>
  </si>
  <si>
    <t>세외수입_KICC(인터넷)</t>
  </si>
  <si>
    <t>이케아코리아 유한회사 강동지점 비스트로(고객)</t>
  </si>
  <si>
    <t>우드멜로우</t>
  </si>
  <si>
    <t>포몽드</t>
  </si>
  <si>
    <t>데일리맘- shop</t>
  </si>
  <si>
    <t>비인증_스마트로</t>
  </si>
  <si>
    <t>하이마트 Hi-Plan by Lola</t>
  </si>
  <si>
    <t>교하제면소</t>
  </si>
  <si>
    <t>한화손02018</t>
  </si>
  <si>
    <t>삼성02000</t>
  </si>
  <si>
    <t>삼성02002건</t>
  </si>
  <si>
    <t>부모급여(강동구)</t>
  </si>
  <si>
    <t>김재순</t>
  </si>
  <si>
    <t>삼성화02032</t>
  </si>
  <si>
    <t>삼성화02026</t>
  </si>
  <si>
    <t>초이세차장</t>
  </si>
  <si>
    <t>초이주유소</t>
  </si>
  <si>
    <t>이케아코리아강동지점카페</t>
  </si>
  <si>
    <t>롯데카드2602</t>
  </si>
  <si>
    <t>최하영</t>
  </si>
  <si>
    <t>우아한형제들</t>
  </si>
  <si>
    <t>인천국제공항공사(제2터미널)</t>
  </si>
  <si>
    <t>백년가게협동조합연합회(백년가게)</t>
  </si>
  <si>
    <t>(주)진에어</t>
  </si>
  <si>
    <t>UMINCHURYOURI KAIHOUMA Tokyo         JPN</t>
  </si>
  <si>
    <t>ALA MAHAINA CONDO HOTE Tokyo         JPN</t>
  </si>
  <si>
    <t>파리바게뜨 인천공항 T2랜드마크점</t>
  </si>
  <si>
    <t>(주)와이드모바일</t>
  </si>
  <si>
    <t>(주) 진에어[오프라인]</t>
  </si>
  <si>
    <t>(주)진에어 BSP_원화</t>
  </si>
  <si>
    <t>씨제이올리브영(주)상일동역점</t>
  </si>
  <si>
    <t>삼성JBL온라인스토어</t>
  </si>
  <si>
    <t>국민최영범</t>
  </si>
  <si>
    <t>주식회사 오아시스 길동역점</t>
  </si>
  <si>
    <t>(주)케이지이니시스</t>
  </si>
  <si>
    <t>시리즈</t>
  </si>
  <si>
    <t>번패티번 서여주DT점</t>
  </si>
  <si>
    <t>네이버플러스멤버십</t>
  </si>
  <si>
    <t>SSG.COM</t>
  </si>
  <si>
    <t>743407**66   ,2602-126회차</t>
  </si>
  <si>
    <t>아토오겔</t>
  </si>
  <si>
    <t>(유)아웃백스테이크하우스코리아 천호현대점</t>
  </si>
  <si>
    <t>세븐일레븐 수서역사5호점</t>
  </si>
  <si>
    <t>강재은(대신구매)</t>
  </si>
  <si>
    <t>목우촌</t>
  </si>
  <si>
    <t>티아크 디저트카페</t>
  </si>
  <si>
    <t>한화손01017</t>
  </si>
  <si>
    <t>삼성01000</t>
  </si>
  <si>
    <t>삼성01002건</t>
  </si>
  <si>
    <t>롯데마트 청량리점</t>
  </si>
  <si>
    <t>랩온랩</t>
  </si>
  <si>
    <t>삼성화01031</t>
  </si>
  <si>
    <t>삼성화01025</t>
  </si>
  <si>
    <t>박*웅</t>
  </si>
  <si>
    <t>오뚜기mall</t>
  </si>
  <si>
    <t>동아제약 파티온 공식몰</t>
  </si>
  <si>
    <t>성과급</t>
  </si>
  <si>
    <t>엔에이치엔케이씨피 주식회사</t>
  </si>
  <si>
    <t>정부민원포털 정부24</t>
  </si>
  <si>
    <t>세외수입_KICC(현장)</t>
  </si>
  <si>
    <t>천지산업(주)</t>
  </si>
  <si>
    <t>위글위글 남산서울타워</t>
  </si>
  <si>
    <t>한국삭도공업(주)</t>
  </si>
  <si>
    <t>아마노코리아(주)포포인츠바이쉐라톤서울명동</t>
  </si>
  <si>
    <t>씨유을지로비즈센터점</t>
  </si>
  <si>
    <t>투썸플레이스 을지로입구역점</t>
  </si>
  <si>
    <t>청와옥을지로점</t>
  </si>
  <si>
    <t>오*석</t>
  </si>
  <si>
    <t>매일유업 직영스토어</t>
  </si>
  <si>
    <t>롯데카드2601</t>
  </si>
  <si>
    <t>김의준고구마</t>
  </si>
  <si>
    <t>세븐일레븐 일광점</t>
  </si>
  <si>
    <t>(주)신세계사이먼부산점부산프리미엄아울렛</t>
  </si>
  <si>
    <t>코리아세븐수서역사5호점</t>
  </si>
  <si>
    <t>주식회사 아성다이소</t>
  </si>
  <si>
    <t>경성꽈배기 상일동역점</t>
  </si>
  <si>
    <t>지에스칼텍스 (주)제2여객터미널점</t>
  </si>
  <si>
    <t>(주)세마스포츠마케팅</t>
  </si>
  <si>
    <t>이니시스_취급수수료</t>
  </si>
  <si>
    <t>안*복</t>
  </si>
  <si>
    <t>마장휴게소싱당가하A</t>
  </si>
  <si>
    <t>토스 최영범</t>
  </si>
  <si>
    <t>라이프데이</t>
  </si>
  <si>
    <t>743407**66   ,2601-125회차</t>
  </si>
  <si>
    <t>육영재단</t>
  </si>
  <si>
    <t>케이엘씨산업개발</t>
  </si>
  <si>
    <t>노리터</t>
  </si>
  <si>
    <t>두드림</t>
  </si>
  <si>
    <t>GS25여주연라점</t>
  </si>
  <si>
    <t>강테모</t>
  </si>
  <si>
    <t>삼성물산(주)강동아이파크더리버</t>
  </si>
  <si>
    <t>놀유니버스티켓</t>
  </si>
  <si>
    <t>여권발급수수료[영수필증]</t>
  </si>
  <si>
    <t>경남제약</t>
  </si>
  <si>
    <t>토루토루</t>
  </si>
  <si>
    <t>럭키쇼핑</t>
  </si>
  <si>
    <t>텐코인 노래연습장 미사점</t>
  </si>
  <si>
    <t>현대아울렛 가든파이브점</t>
  </si>
  <si>
    <t>한화손12016</t>
  </si>
  <si>
    <t>삼성12000</t>
  </si>
  <si>
    <t>삼성12002건</t>
  </si>
  <si>
    <t>토스815</t>
  </si>
  <si>
    <t>노브랜드 스타필드 하남점</t>
  </si>
  <si>
    <t>토스쇼핑</t>
  </si>
  <si>
    <t>토스 간편결제</t>
  </si>
  <si>
    <t>아동수당(강동구)</t>
  </si>
  <si>
    <t>삼성화12030</t>
  </si>
  <si>
    <t>삼성화12024</t>
  </si>
  <si>
    <t>이마트24 인재개발원점</t>
  </si>
  <si>
    <t>오*섭</t>
  </si>
  <si>
    <t>(유)이영반도체주유소</t>
  </si>
  <si>
    <t>리틀포레스트</t>
  </si>
  <si>
    <t>KCP-결제</t>
  </si>
  <si>
    <t>(주)가우플랜</t>
  </si>
  <si>
    <t>모바일티머니_버스3건</t>
  </si>
  <si>
    <t>라우라우</t>
  </si>
  <si>
    <t>스타더스트 필터</t>
  </si>
  <si>
    <t>롯데카드2512</t>
  </si>
  <si>
    <t>건강박사스토어</t>
  </si>
  <si>
    <t>호르메 몬테소리</t>
  </si>
  <si>
    <t>라비베베</t>
  </si>
  <si>
    <t>김*웅</t>
  </si>
  <si>
    <t>송*호</t>
  </si>
  <si>
    <t>정*맘</t>
  </si>
  <si>
    <t>적립 내역</t>
  </si>
  <si>
    <t>보드게임카페 레드버튼 강남논현점</t>
  </si>
  <si>
    <t>이마트 논현타워</t>
  </si>
  <si>
    <t>이지피쥐(구)_차</t>
  </si>
  <si>
    <t>이*석</t>
  </si>
  <si>
    <t>송금 수취 내역</t>
  </si>
  <si>
    <t>인터넷상거래_2</t>
  </si>
  <si>
    <t>티머니 개인택시_0</t>
  </si>
  <si>
    <t>주식회사 티머니</t>
  </si>
  <si>
    <t>(주)롯데리아 수서역사점</t>
  </si>
  <si>
    <t>파이브가이즈_KICC</t>
  </si>
  <si>
    <t>주식회사 제니컴퍼니</t>
  </si>
  <si>
    <t>세외수입(비)_스마트로_3</t>
  </si>
  <si>
    <t>컴포즈커피 성남산성점</t>
  </si>
  <si>
    <t>G마켓(1566-5701)</t>
  </si>
  <si>
    <t>오가다제주공항점</t>
  </si>
  <si>
    <t>프랭크버거제주공항점</t>
  </si>
  <si>
    <t>오륜실내테니스장</t>
  </si>
  <si>
    <t>743407**66   ,2512-124회차</t>
  </si>
  <si>
    <t>지티에스버거</t>
  </si>
  <si>
    <t>K LAND</t>
  </si>
  <si>
    <t>손*한</t>
  </si>
  <si>
    <t>히키본점</t>
  </si>
  <si>
    <t>온스헤어상일동역점</t>
  </si>
  <si>
    <t>세이렌노래연습장</t>
  </si>
  <si>
    <t>인터넷상거래_3</t>
  </si>
  <si>
    <t>샤브20 송파감일점</t>
  </si>
  <si>
    <t>KOCES 결제대행</t>
  </si>
  <si>
    <t>부경에스이에스(주)</t>
  </si>
  <si>
    <t>롯데월드</t>
  </si>
  <si>
    <t>롯데타운 크리스마스 마켓</t>
  </si>
  <si>
    <t>네이버페이 간편결제(머니)</t>
  </si>
  <si>
    <t>롯데역사(주) 영등포점</t>
  </si>
  <si>
    <t>송금 취소 내역</t>
  </si>
  <si>
    <t>장수면</t>
  </si>
  <si>
    <t>팀커머스</t>
  </si>
  <si>
    <t>꽃밭주유소</t>
  </si>
  <si>
    <t>한화손11015</t>
  </si>
  <si>
    <t>삼성11000</t>
  </si>
  <si>
    <t>삼성11002건</t>
  </si>
  <si>
    <t>리암스 (Liam's)</t>
  </si>
  <si>
    <t>삼성화11029</t>
  </si>
  <si>
    <t>삼성화11023</t>
  </si>
  <si>
    <t>규멘돈</t>
  </si>
  <si>
    <t>현대아울렛가든파이브점</t>
  </si>
  <si>
    <t>엔씨송파점</t>
  </si>
  <si>
    <t>스마트로_세외수입_비인증</t>
  </si>
  <si>
    <t>이케아코리아강동지점비스트로고객</t>
  </si>
  <si>
    <t>메가엠지씨커피서울중랑우체국점</t>
  </si>
  <si>
    <t>맘스터치상봉역점</t>
  </si>
  <si>
    <t>당근페이</t>
  </si>
  <si>
    <t>GS25 청담중앙점</t>
  </si>
  <si>
    <t>신세계 하남점 아카데미</t>
  </si>
  <si>
    <t>서울 정의원</t>
  </si>
  <si>
    <t>쿠우쿠우 강동점</t>
  </si>
  <si>
    <t>서울올림픽기념국민체육진흥공(주차장)</t>
  </si>
  <si>
    <t>홈플러스 문화센터 강동점</t>
  </si>
  <si>
    <t>김영웅</t>
  </si>
  <si>
    <t>캐비 프로덕트</t>
  </si>
  <si>
    <t>디디구디</t>
  </si>
  <si>
    <t>(주)신세계프라퍼티 코엑스몰</t>
  </si>
  <si>
    <t>롯데카드2511</t>
  </si>
  <si>
    <t>아르뫼</t>
  </si>
  <si>
    <t>세븐일레븐 강일리엔파크점</t>
  </si>
  <si>
    <t>삼성물산(주)에버랜드리조트</t>
  </si>
  <si>
    <t>웰컴페이먼츠 주식회사</t>
  </si>
  <si>
    <t>이삭토스트 상일동역</t>
  </si>
  <si>
    <t>743407**66   ,2511-123회차</t>
  </si>
  <si>
    <t>컬리</t>
  </si>
  <si>
    <t>신세계프라퍼티더샵스앳센터필드점</t>
  </si>
  <si>
    <t>배스킨라빈스방이역점</t>
  </si>
  <si>
    <t>동촌</t>
  </si>
  <si>
    <t>캠핑장매점</t>
  </si>
  <si>
    <t>한국야쿠르트</t>
  </si>
  <si>
    <t>소담정201</t>
  </si>
  <si>
    <t>서울이레소망치과의원</t>
  </si>
  <si>
    <t>한화손10014</t>
  </si>
  <si>
    <t>삼성10000</t>
  </si>
  <si>
    <t>삼성10002건</t>
  </si>
  <si>
    <t>써브웨이 압구정로데오점</t>
  </si>
  <si>
    <t>백*석</t>
  </si>
  <si>
    <t>주식회사 에스에스지페이먼츠</t>
  </si>
  <si>
    <t>시흥도시공사_주차장</t>
  </si>
  <si>
    <t>주식회사 정동진</t>
  </si>
  <si>
    <t>커피쿡</t>
  </si>
  <si>
    <t>(주)신세계사이먼 시흥점</t>
  </si>
  <si>
    <t>유니클로</t>
  </si>
  <si>
    <t>한국도로공사 서하남주유소</t>
  </si>
  <si>
    <t>곤트란쉐리에 강남역점</t>
  </si>
  <si>
    <t>삼성화10028</t>
  </si>
  <si>
    <t>삼성화10022</t>
  </si>
  <si>
    <t>차움의원</t>
  </si>
  <si>
    <t>김*진</t>
  </si>
  <si>
    <t>토스페이먼츠 주식회사</t>
  </si>
  <si>
    <t>1020910028000</t>
  </si>
  <si>
    <t>지앤티클린</t>
  </si>
  <si>
    <t>오야붕</t>
  </si>
  <si>
    <t>빽다방 상일동역점</t>
  </si>
  <si>
    <t>GS25  청담중앙</t>
  </si>
  <si>
    <t>롯데카드2510</t>
  </si>
  <si>
    <t>충전 내역</t>
  </si>
  <si>
    <t>네이버페이 머니</t>
  </si>
  <si>
    <t>(주)이니시스</t>
  </si>
  <si>
    <t>현대아울렛 스페이스원</t>
  </si>
  <si>
    <t>743407**66   ,2510-122회차</t>
  </si>
  <si>
    <t>도깨비호떡</t>
  </si>
  <si>
    <t>백두감자탕</t>
  </si>
  <si>
    <t>컴포즈커피 상일동역1호점</t>
  </si>
  <si>
    <t>기금조성총괄본부</t>
  </si>
  <si>
    <t>아띠래빗</t>
  </si>
  <si>
    <t>동운주유소</t>
  </si>
  <si>
    <t>홈플러스강동점</t>
  </si>
  <si>
    <t>주식회사네스트글로벌</t>
  </si>
  <si>
    <t>김효준</t>
  </si>
  <si>
    <t>라임피부비뇨기과의원</t>
  </si>
  <si>
    <t>아웃백스테이크하우스코리아상봉점</t>
  </si>
  <si>
    <t>카레클린트</t>
  </si>
  <si>
    <t>장혁</t>
  </si>
  <si>
    <t>한국결제_세외수입(비인증)</t>
  </si>
  <si>
    <t>진이네떡볶이</t>
  </si>
  <si>
    <t>박*해</t>
  </si>
  <si>
    <t>보리보리</t>
  </si>
  <si>
    <t>한화손09013</t>
  </si>
  <si>
    <t>삼성09000</t>
  </si>
  <si>
    <t>삼성09002건</t>
  </si>
  <si>
    <t>꽃뜨락</t>
  </si>
  <si>
    <t>온누리모세종약국</t>
  </si>
  <si>
    <t>아넬라</t>
  </si>
  <si>
    <t>컴포즈커피 삼각지역점</t>
  </si>
  <si>
    <t>쿠마반점</t>
  </si>
  <si>
    <t>삼성화09027</t>
  </si>
  <si>
    <t>삼성화09021</t>
  </si>
  <si>
    <t>피자헛-방이점</t>
  </si>
  <si>
    <t>배스킨라빈스 신천역점</t>
  </si>
  <si>
    <t>(주)중앙해장</t>
  </si>
  <si>
    <t>의료법인미래의료재단</t>
  </si>
  <si>
    <t>예금신규</t>
  </si>
  <si>
    <t>스마트로_세외수입(비)</t>
  </si>
  <si>
    <t>서원안동국시</t>
  </si>
  <si>
    <t>NICE_티켓결제</t>
  </si>
  <si>
    <t>마켓경기</t>
  </si>
  <si>
    <t>청산흑가마</t>
  </si>
  <si>
    <t>차명성</t>
  </si>
  <si>
    <t>롯데카드2509</t>
  </si>
  <si>
    <t>도미노피자 강일점</t>
  </si>
  <si>
    <t>(주)아워홈 평창자연휴게소점</t>
  </si>
  <si>
    <t>서창산업(주)옥계(속초방향)주유소</t>
  </si>
  <si>
    <t>할리스추암</t>
  </si>
  <si>
    <t>한촌설렁탕 삼척해수욕장점</t>
  </si>
  <si>
    <t>오시기식당</t>
  </si>
  <si>
    <t>주식회사 지케이벤딩스</t>
  </si>
  <si>
    <t>(주)소노스퀘어</t>
  </si>
  <si>
    <t>(주)소노인터내셔널 삼척지점</t>
  </si>
  <si>
    <t>용화찬미</t>
  </si>
  <si>
    <t>주식회사 초곡휴게음식점</t>
  </si>
  <si>
    <t>홈티켓</t>
  </si>
  <si>
    <t>횡성(하)휴게소</t>
  </si>
  <si>
    <t>주식회사케이알산업하남(만)휴게소</t>
  </si>
  <si>
    <t>우리생협상일점</t>
  </si>
  <si>
    <t>스타필드하남</t>
  </si>
  <si>
    <t>(주)서원 여주(인천)휴게소</t>
  </si>
  <si>
    <t>여명 아울렛</t>
  </si>
  <si>
    <t>비비 브라운(B.BBROW)</t>
  </si>
  <si>
    <t>빈원더스</t>
  </si>
  <si>
    <t>명일테니스장</t>
  </si>
  <si>
    <t>포메인 RED 남대문점</t>
  </si>
  <si>
    <t>신세계사이먼여주점</t>
  </si>
  <si>
    <t>달달구리아이스크림</t>
  </si>
  <si>
    <t>743407**66   ,2509-121회차</t>
  </si>
  <si>
    <t>(사)대한심폐소**</t>
  </si>
  <si>
    <t>코레일유통울산역</t>
  </si>
  <si>
    <t>세븐일레븐일광점</t>
  </si>
  <si>
    <t>씨유CU일광동원2차점</t>
  </si>
  <si>
    <t>우리카드대금</t>
  </si>
  <si>
    <t>블루보틀커피코리아</t>
  </si>
  <si>
    <t>죠스떡볶이 바르다김선생 고덕센트럴점</t>
  </si>
  <si>
    <t>박*환</t>
  </si>
  <si>
    <t>정*진</t>
  </si>
  <si>
    <t>박*연</t>
  </si>
  <si>
    <t>최*호</t>
  </si>
  <si>
    <t>김훈기</t>
  </si>
  <si>
    <t>(주)보나비</t>
  </si>
  <si>
    <t>(사)라이프가드</t>
  </si>
  <si>
    <t>푸드케어</t>
  </si>
  <si>
    <t>(주)더좋은자전거</t>
  </si>
  <si>
    <t>삼성화08026</t>
  </si>
  <si>
    <t>삼성화08020</t>
  </si>
  <si>
    <t>한화손08012</t>
  </si>
  <si>
    <t>삼성08000</t>
  </si>
  <si>
    <t>삼성08002건</t>
  </si>
  <si>
    <t>광수생각</t>
  </si>
  <si>
    <t>예금해지</t>
  </si>
  <si>
    <t>주식회사 심플로어</t>
  </si>
  <si>
    <t>최홍준</t>
  </si>
  <si>
    <t>이준혁</t>
  </si>
  <si>
    <t>허*무</t>
  </si>
  <si>
    <t>차은진</t>
  </si>
  <si>
    <t>네이버파이낸셜(주)</t>
  </si>
  <si>
    <t>린클 공식 스토어</t>
  </si>
  <si>
    <t>KOCES_자판기 전용_4</t>
  </si>
  <si>
    <t>(주)케이엘페트로 남양주별내지점</t>
  </si>
  <si>
    <t>이*준</t>
  </si>
  <si>
    <t>신동우</t>
  </si>
  <si>
    <t>유병춘</t>
  </si>
  <si>
    <t>롯데카드2508</t>
  </si>
  <si>
    <t>KIOSK</t>
  </si>
  <si>
    <t>다날_비트코퍼레이션_키오스크</t>
  </si>
  <si>
    <t>최정란</t>
  </si>
  <si>
    <t>서울특별시강동구도시관리공단</t>
  </si>
  <si>
    <t>버거킹 강동구청점</t>
  </si>
  <si>
    <t>주차장</t>
  </si>
  <si>
    <t>주식회사 놀유니버스</t>
  </si>
  <si>
    <t>주식회사놀유니버스</t>
  </si>
  <si>
    <t>서*완</t>
  </si>
  <si>
    <t>홈플러스잠실점</t>
  </si>
  <si>
    <t>트레이더스하남점</t>
  </si>
  <si>
    <t>스탠다드브레드</t>
  </si>
  <si>
    <t>11번가</t>
  </si>
  <si>
    <t>NH401</t>
  </si>
  <si>
    <t>비비브라운</t>
  </si>
  <si>
    <t>함태호</t>
  </si>
  <si>
    <t>743407**66   ,2508-120회차</t>
  </si>
  <si>
    <t>구리주유소</t>
  </si>
  <si>
    <t>고영일</t>
  </si>
  <si>
    <t>신세계사이먼파주점</t>
  </si>
  <si>
    <t>최성원</t>
  </si>
  <si>
    <t>지향막국수</t>
  </si>
  <si>
    <t>최*원</t>
  </si>
  <si>
    <t>롯데카드캐시백</t>
  </si>
  <si>
    <t>세외수입(비)_스마트로_2</t>
  </si>
  <si>
    <t>(주)인터파크</t>
  </si>
  <si>
    <t>(주)신세계사이먼 여주점</t>
  </si>
  <si>
    <t>(사) 한국고속도로휴게시설협회 하남만남주유소</t>
  </si>
  <si>
    <t>한화손07011</t>
  </si>
  <si>
    <t>삼성07000</t>
  </si>
  <si>
    <t>삼성07002건</t>
  </si>
  <si>
    <t>롯데쇼핑(주) 롯데마트 월드타워점[매장]</t>
  </si>
  <si>
    <t>더벤티 롯데마트월드타워점</t>
  </si>
  <si>
    <t>김민수</t>
  </si>
  <si>
    <t>삼성화07025</t>
  </si>
  <si>
    <t>삼성화07019</t>
  </si>
  <si>
    <t>(주)이랜드이츠 애슐리퀸즈 던던동대문점</t>
  </si>
  <si>
    <t>이마트24 종로당주점</t>
  </si>
  <si>
    <t>본죽&amp;비빔밥(종로르메이에르점)</t>
  </si>
  <si>
    <t>현대아울렛 동대문점</t>
  </si>
  <si>
    <t>아스포스포츠</t>
  </si>
  <si>
    <t>던킨도너츠 동대문시장점</t>
  </si>
  <si>
    <t>KT 유선상품 자동납부</t>
  </si>
  <si>
    <t>(주)엘지유플러스</t>
  </si>
  <si>
    <t>정용진</t>
  </si>
  <si>
    <t>정범수</t>
  </si>
  <si>
    <t>캠핑장 매점</t>
  </si>
  <si>
    <t>HAN JEO**</t>
  </si>
  <si>
    <t>엘에스(LS) 개발</t>
  </si>
  <si>
    <t>정*수</t>
  </si>
  <si>
    <t>화물최영범</t>
  </si>
  <si>
    <t>김*용</t>
  </si>
  <si>
    <t>한살림동서울소비자생활협동조합 강일매장</t>
  </si>
  <si>
    <t>김수용</t>
  </si>
  <si>
    <t>우지커피 구로지타워점</t>
  </si>
  <si>
    <t>폴바셋 구로G타워점</t>
  </si>
  <si>
    <t>한국도로공사</t>
  </si>
  <si>
    <t>이태리국시성수</t>
  </si>
  <si>
    <t>롯데카드2507</t>
  </si>
  <si>
    <t>미사경희한방병원</t>
  </si>
  <si>
    <t>한살림동서울강일매장</t>
  </si>
  <si>
    <t>주식회사 헥토파이낸셜</t>
  </si>
  <si>
    <t>카카오페이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</si>
</sst>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#,##0.00\ &quot;%&quot;\ "/>
    <numFmt numFmtId="178" formatCode="hh:mm"/>
  </numFmts>
  <fonts count="5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3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3" fontId="2" fillId="7" borderId="9" xfId="0" applyNumberFormat="1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3" fontId="0" fillId="0" borderId="14" xfId="0" applyNumberFormat="1" applyBorder="1"/>
    <xf numFmtId="0" fontId="0" fillId="0" borderId="14" xfId="0" applyBorder="1"/>
    <xf numFmtId="3" fontId="2" fillId="8" borderId="13" xfId="0" applyNumberFormat="1" applyFont="1" applyFill="1" applyBorder="1"/>
    <xf numFmtId="3" fontId="2" fillId="8" borderId="14" xfId="0" applyNumberFormat="1" applyFont="1" applyFill="1" applyBorder="1"/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3" fontId="0" fillId="0" borderId="19" xfId="0" applyNumberFormat="1" applyBorder="1"/>
    <xf numFmtId="176" fontId="0" fillId="0" borderId="7" xfId="0" applyNumberFormat="1" applyBorder="1"/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4" fontId="0" fillId="0" borderId="19" xfId="0" applyNumberFormat="1" applyBorder="1"/>
    <xf numFmtId="17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0" xfId="0" applyNumberFormat="1"/>
    <xf numFmtId="178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3" fontId="2" fillId="8" borderId="16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7" xfId="0" applyBorder="1"/>
    <xf numFmtId="3" fontId="3" fillId="9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  <xf numFmtId="3" fontId="3" fillId="6" borderId="8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106"/>
  <sheetViews>
    <sheetView workbookViewId="0"/>
  </sheetViews>
  <sheetFormatPr defaultRowHeight="16.5" x14ac:dyDescent="0.3"/>
  <cols>
    <col min="1" max="1" width="2.75" customWidth="1"/>
    <col min="2" max="18" width="16.75" customWidth="1"/>
  </cols>
  <sheetData>
    <row r="3" spans="2:17" ht="20.25" x14ac:dyDescent="0.3">
      <c r="B3" s="1" t="s">
        <v>0</v>
      </c>
    </row>
    <row r="4" spans="2:17" x14ac:dyDescent="0.3">
      <c r="B4" t="s">
        <v>1</v>
      </c>
    </row>
    <row r="5" spans="2:17" x14ac:dyDescent="0.3">
      <c r="B5" s="2" t="s">
        <v>2</v>
      </c>
      <c r="C5" s="3" t="s">
        <v>3</v>
      </c>
      <c r="D5" s="3" t="s">
        <v>4</v>
      </c>
      <c r="E5" s="3" t="s">
        <v>5</v>
      </c>
      <c r="F5" s="44" t="s">
        <v>6</v>
      </c>
      <c r="G5" s="44"/>
    </row>
    <row r="6" spans="2:17" x14ac:dyDescent="0.3">
      <c r="B6" s="4" t="s">
        <v>7</v>
      </c>
      <c r="C6" s="5" t="s">
        <v>8</v>
      </c>
      <c r="D6" s="5">
        <v>33</v>
      </c>
      <c r="E6" s="5">
        <v>969</v>
      </c>
      <c r="F6" s="45" t="s">
        <v>9</v>
      </c>
      <c r="G6" s="45"/>
    </row>
    <row r="9" spans="2:17" ht="20.25" x14ac:dyDescent="0.3">
      <c r="B9" s="1" t="s">
        <v>10</v>
      </c>
    </row>
    <row r="10" spans="2:17" x14ac:dyDescent="0.3">
      <c r="B10" t="s">
        <v>11</v>
      </c>
    </row>
    <row r="11" spans="2:17" x14ac:dyDescent="0.3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 x14ac:dyDescent="0.3">
      <c r="B12" s="9" t="s">
        <v>28</v>
      </c>
      <c r="C12" s="10">
        <f t="shared" ref="C12:C36" si="0">SUM(E12:Q12)</f>
        <v>345056</v>
      </c>
      <c r="D12" s="10">
        <f t="shared" ref="D12:D36" si="1">C12/13</f>
        <v>26542.76923076923</v>
      </c>
      <c r="E12" s="10">
        <v>61173</v>
      </c>
      <c r="F12" s="10">
        <v>23178</v>
      </c>
      <c r="G12" s="10">
        <v>19906</v>
      </c>
      <c r="H12" s="10">
        <v>21467</v>
      </c>
      <c r="I12" s="10">
        <v>21052</v>
      </c>
      <c r="J12" s="10">
        <v>22866</v>
      </c>
      <c r="K12" s="10">
        <v>17789</v>
      </c>
      <c r="L12" s="10">
        <v>19404</v>
      </c>
      <c r="M12" s="10">
        <v>14884</v>
      </c>
      <c r="N12" s="10">
        <v>21070</v>
      </c>
      <c r="O12" s="10">
        <v>39017</v>
      </c>
      <c r="P12" s="10">
        <v>36010</v>
      </c>
      <c r="Q12" s="10">
        <v>27240</v>
      </c>
    </row>
    <row r="13" spans="2:17" x14ac:dyDescent="0.3">
      <c r="B13" s="9" t="s">
        <v>29</v>
      </c>
      <c r="C13" s="10">
        <f t="shared" si="0"/>
        <v>612784330</v>
      </c>
      <c r="D13" s="10">
        <f t="shared" si="1"/>
        <v>47137256.153846152</v>
      </c>
      <c r="E13" s="10">
        <v>5130720</v>
      </c>
      <c r="F13" s="10">
        <v>5147460</v>
      </c>
      <c r="G13" s="10">
        <v>5130720</v>
      </c>
      <c r="H13" s="10">
        <v>5139720</v>
      </c>
      <c r="I13" s="10">
        <v>5130720</v>
      </c>
      <c r="J13" s="10">
        <v>5180720</v>
      </c>
      <c r="K13" s="10">
        <v>5373300</v>
      </c>
      <c r="L13" s="10">
        <v>7530480</v>
      </c>
      <c r="M13" s="10">
        <v>13318090</v>
      </c>
      <c r="N13" s="10">
        <v>58841800</v>
      </c>
      <c r="O13" s="10">
        <v>5074260</v>
      </c>
      <c r="P13" s="10">
        <v>491786340</v>
      </c>
      <c r="Q13" s="10">
        <v>0</v>
      </c>
    </row>
    <row r="14" spans="2:17" x14ac:dyDescent="0.3">
      <c r="B14" s="9" t="s">
        <v>30</v>
      </c>
      <c r="C14" s="10">
        <f t="shared" si="0"/>
        <v>2</v>
      </c>
      <c r="D14" s="10">
        <f t="shared" si="1"/>
        <v>0.15384615384615385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1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1</v>
      </c>
      <c r="Q14" s="10">
        <v>0</v>
      </c>
    </row>
    <row r="15" spans="2:17" x14ac:dyDescent="0.3">
      <c r="B15" s="9" t="s">
        <v>31</v>
      </c>
      <c r="C15" s="10">
        <f t="shared" si="0"/>
        <v>80870330</v>
      </c>
      <c r="D15" s="10">
        <f t="shared" si="1"/>
        <v>6220794.615384615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80870330</v>
      </c>
      <c r="P15" s="10">
        <v>0</v>
      </c>
      <c r="Q15" s="10">
        <v>0</v>
      </c>
    </row>
    <row r="16" spans="2:17" x14ac:dyDescent="0.3">
      <c r="B16" s="9" t="s">
        <v>32</v>
      </c>
      <c r="C16" s="10">
        <f t="shared" si="0"/>
        <v>4103562</v>
      </c>
      <c r="D16" s="10">
        <f t="shared" si="1"/>
        <v>315658.61538461538</v>
      </c>
      <c r="E16" s="10">
        <v>0</v>
      </c>
      <c r="F16" s="10">
        <v>407500</v>
      </c>
      <c r="G16" s="10">
        <v>325200</v>
      </c>
      <c r="H16" s="10">
        <v>337900</v>
      </c>
      <c r="I16" s="10">
        <v>30400</v>
      </c>
      <c r="J16" s="10">
        <v>182100</v>
      </c>
      <c r="K16" s="10">
        <v>668350</v>
      </c>
      <c r="L16" s="10">
        <v>300170</v>
      </c>
      <c r="M16" s="10">
        <v>392820</v>
      </c>
      <c r="N16" s="10">
        <v>137250</v>
      </c>
      <c r="O16" s="10">
        <v>540300</v>
      </c>
      <c r="P16" s="10">
        <v>60301</v>
      </c>
      <c r="Q16" s="10">
        <v>721271</v>
      </c>
    </row>
    <row r="17" spans="2:17" x14ac:dyDescent="0.3">
      <c r="B17" s="11" t="s">
        <v>33</v>
      </c>
      <c r="C17" s="12">
        <f t="shared" si="0"/>
        <v>698103280</v>
      </c>
      <c r="D17" s="12">
        <f t="shared" si="1"/>
        <v>53700252.307692304</v>
      </c>
      <c r="E17" s="12">
        <f t="shared" ref="E17:Q17" si="2">SUM(E12:E16)</f>
        <v>5191893</v>
      </c>
      <c r="F17" s="12">
        <f t="shared" si="2"/>
        <v>5578138</v>
      </c>
      <c r="G17" s="12">
        <f t="shared" si="2"/>
        <v>5475826</v>
      </c>
      <c r="H17" s="12">
        <f t="shared" si="2"/>
        <v>5499087</v>
      </c>
      <c r="I17" s="12">
        <f t="shared" si="2"/>
        <v>5182172</v>
      </c>
      <c r="J17" s="12">
        <f t="shared" si="2"/>
        <v>5385687</v>
      </c>
      <c r="K17" s="12">
        <f t="shared" si="2"/>
        <v>6059439</v>
      </c>
      <c r="L17" s="12">
        <f t="shared" si="2"/>
        <v>7850054</v>
      </c>
      <c r="M17" s="12">
        <f t="shared" si="2"/>
        <v>13725794</v>
      </c>
      <c r="N17" s="12">
        <f t="shared" si="2"/>
        <v>59000120</v>
      </c>
      <c r="O17" s="12">
        <f t="shared" si="2"/>
        <v>86523907</v>
      </c>
      <c r="P17" s="12">
        <f t="shared" si="2"/>
        <v>491882652</v>
      </c>
      <c r="Q17" s="12">
        <f t="shared" si="2"/>
        <v>748511</v>
      </c>
    </row>
    <row r="18" spans="2:17" x14ac:dyDescent="0.3">
      <c r="B18" s="9" t="s">
        <v>34</v>
      </c>
      <c r="C18" s="10">
        <f t="shared" si="0"/>
        <v>36600</v>
      </c>
      <c r="D18" s="10">
        <f t="shared" si="1"/>
        <v>2815.3846153846152</v>
      </c>
      <c r="E18" s="10">
        <v>0</v>
      </c>
      <c r="F18" s="10">
        <v>0</v>
      </c>
      <c r="G18" s="10">
        <v>0</v>
      </c>
      <c r="H18" s="10">
        <v>10600</v>
      </c>
      <c r="I18" s="10">
        <v>0</v>
      </c>
      <c r="J18" s="10">
        <v>0</v>
      </c>
      <c r="K18" s="10">
        <v>6000</v>
      </c>
      <c r="L18" s="10">
        <v>20000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pans="2:17" x14ac:dyDescent="0.3">
      <c r="B19" s="9" t="s">
        <v>35</v>
      </c>
      <c r="C19" s="10">
        <f t="shared" si="0"/>
        <v>235000</v>
      </c>
      <c r="D19" s="10">
        <f t="shared" si="1"/>
        <v>18076.923076923078</v>
      </c>
      <c r="E19" s="10">
        <v>0</v>
      </c>
      <c r="F19" s="10">
        <v>28000</v>
      </c>
      <c r="G19" s="10">
        <v>0</v>
      </c>
      <c r="H19" s="10">
        <v>0</v>
      </c>
      <c r="I19" s="10">
        <v>157000</v>
      </c>
      <c r="J19" s="10">
        <v>0</v>
      </c>
      <c r="K19" s="10">
        <v>50000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</row>
    <row r="20" spans="2:17" x14ac:dyDescent="0.3">
      <c r="B20" s="9" t="s">
        <v>36</v>
      </c>
      <c r="C20" s="10">
        <f t="shared" si="0"/>
        <v>2205990</v>
      </c>
      <c r="D20" s="10">
        <f t="shared" si="1"/>
        <v>169691.53846153847</v>
      </c>
      <c r="E20" s="10">
        <v>37800</v>
      </c>
      <c r="F20" s="10">
        <v>203100</v>
      </c>
      <c r="G20" s="10">
        <v>234190</v>
      </c>
      <c r="H20" s="10">
        <v>182400</v>
      </c>
      <c r="I20" s="10">
        <v>183350</v>
      </c>
      <c r="J20" s="10">
        <v>158980</v>
      </c>
      <c r="K20" s="10">
        <v>247200</v>
      </c>
      <c r="L20" s="10">
        <v>51800</v>
      </c>
      <c r="M20" s="10">
        <v>206050</v>
      </c>
      <c r="N20" s="10">
        <v>334640</v>
      </c>
      <c r="O20" s="10">
        <v>156450</v>
      </c>
      <c r="P20" s="10">
        <v>186330</v>
      </c>
      <c r="Q20" s="10">
        <v>23700</v>
      </c>
    </row>
    <row r="21" spans="2:17" x14ac:dyDescent="0.3">
      <c r="B21" s="9" t="s">
        <v>37</v>
      </c>
      <c r="C21" s="10">
        <f t="shared" si="0"/>
        <v>227530932</v>
      </c>
      <c r="D21" s="10">
        <f t="shared" si="1"/>
        <v>17502379.384615384</v>
      </c>
      <c r="E21" s="10">
        <v>710175</v>
      </c>
      <c r="F21" s="10">
        <v>1303498</v>
      </c>
      <c r="G21" s="10">
        <v>21047049</v>
      </c>
      <c r="H21" s="10">
        <v>1279763</v>
      </c>
      <c r="I21" s="10">
        <v>544396</v>
      </c>
      <c r="J21" s="10">
        <v>1426632</v>
      </c>
      <c r="K21" s="10">
        <v>1153314</v>
      </c>
      <c r="L21" s="10">
        <v>1160008</v>
      </c>
      <c r="M21" s="10">
        <v>770670</v>
      </c>
      <c r="N21" s="10">
        <v>867187</v>
      </c>
      <c r="O21" s="10">
        <v>80909295</v>
      </c>
      <c r="P21" s="10">
        <v>115689645</v>
      </c>
      <c r="Q21" s="10">
        <v>669300</v>
      </c>
    </row>
    <row r="22" spans="2:17" x14ac:dyDescent="0.3">
      <c r="B22" s="9" t="s">
        <v>38</v>
      </c>
      <c r="C22" s="10">
        <f t="shared" si="0"/>
        <v>2518362</v>
      </c>
      <c r="D22" s="10">
        <f t="shared" si="1"/>
        <v>193720.15384615384</v>
      </c>
      <c r="E22" s="10">
        <v>173800</v>
      </c>
      <c r="F22" s="10">
        <v>244100</v>
      </c>
      <c r="G22" s="10">
        <v>133400</v>
      </c>
      <c r="H22" s="10">
        <v>100000</v>
      </c>
      <c r="I22" s="10">
        <v>288100</v>
      </c>
      <c r="J22" s="10">
        <v>471000</v>
      </c>
      <c r="K22" s="10">
        <v>603500</v>
      </c>
      <c r="L22" s="10">
        <v>152812</v>
      </c>
      <c r="M22" s="10">
        <v>197100</v>
      </c>
      <c r="N22" s="10">
        <v>23600</v>
      </c>
      <c r="O22" s="10">
        <v>99950</v>
      </c>
      <c r="P22" s="10">
        <v>31000</v>
      </c>
      <c r="Q22" s="10">
        <v>0</v>
      </c>
    </row>
    <row r="23" spans="2:17" x14ac:dyDescent="0.3">
      <c r="B23" s="9" t="s">
        <v>39</v>
      </c>
      <c r="C23" s="10">
        <f t="shared" si="0"/>
        <v>463530</v>
      </c>
      <c r="D23" s="10">
        <f t="shared" si="1"/>
        <v>35656.153846153844</v>
      </c>
      <c r="E23" s="10">
        <v>0</v>
      </c>
      <c r="F23" s="10">
        <v>62040</v>
      </c>
      <c r="G23" s="10">
        <v>30600</v>
      </c>
      <c r="H23" s="10">
        <v>18000</v>
      </c>
      <c r="I23" s="10">
        <v>0</v>
      </c>
      <c r="J23" s="10">
        <v>18000</v>
      </c>
      <c r="K23" s="10">
        <v>19490</v>
      </c>
      <c r="L23" s="10">
        <v>171900</v>
      </c>
      <c r="M23" s="10">
        <v>20000</v>
      </c>
      <c r="N23" s="10">
        <v>60000</v>
      </c>
      <c r="O23" s="10">
        <v>41500</v>
      </c>
      <c r="P23" s="10">
        <v>22000</v>
      </c>
      <c r="Q23" s="10">
        <v>0</v>
      </c>
    </row>
    <row r="24" spans="2:17" x14ac:dyDescent="0.3">
      <c r="B24" s="9" t="s">
        <v>40</v>
      </c>
      <c r="C24" s="10">
        <f t="shared" si="0"/>
        <v>5450948</v>
      </c>
      <c r="D24" s="10">
        <f t="shared" si="1"/>
        <v>419303.69230769231</v>
      </c>
      <c r="E24" s="10">
        <v>434804</v>
      </c>
      <c r="F24" s="10">
        <v>366354</v>
      </c>
      <c r="G24" s="10">
        <v>431184</v>
      </c>
      <c r="H24" s="10">
        <v>372694</v>
      </c>
      <c r="I24" s="10">
        <v>370904</v>
      </c>
      <c r="J24" s="10">
        <v>865384</v>
      </c>
      <c r="K24" s="10">
        <v>348144</v>
      </c>
      <c r="L24" s="10">
        <v>361374</v>
      </c>
      <c r="M24" s="10">
        <v>410604</v>
      </c>
      <c r="N24" s="10">
        <v>387224</v>
      </c>
      <c r="O24" s="10">
        <v>390554</v>
      </c>
      <c r="P24" s="10">
        <v>505044</v>
      </c>
      <c r="Q24" s="10">
        <v>206680</v>
      </c>
    </row>
    <row r="25" spans="2:17" x14ac:dyDescent="0.3">
      <c r="B25" s="9" t="s">
        <v>41</v>
      </c>
      <c r="C25" s="10">
        <f t="shared" si="0"/>
        <v>23000</v>
      </c>
      <c r="D25" s="10">
        <f t="shared" si="1"/>
        <v>1769.2307692307693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23000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</row>
    <row r="26" spans="2:17" x14ac:dyDescent="0.3">
      <c r="B26" s="9" t="s">
        <v>42</v>
      </c>
      <c r="C26" s="10">
        <f t="shared" si="0"/>
        <v>3341990</v>
      </c>
      <c r="D26" s="10">
        <f t="shared" si="1"/>
        <v>257076.15384615384</v>
      </c>
      <c r="E26" s="10">
        <v>389640</v>
      </c>
      <c r="F26" s="10">
        <v>137470</v>
      </c>
      <c r="G26" s="10">
        <v>481620</v>
      </c>
      <c r="H26" s="10">
        <v>366180</v>
      </c>
      <c r="I26" s="10">
        <v>381720</v>
      </c>
      <c r="J26" s="10">
        <v>170520</v>
      </c>
      <c r="K26" s="10">
        <v>189235</v>
      </c>
      <c r="L26" s="10">
        <v>197195</v>
      </c>
      <c r="M26" s="10">
        <v>303180</v>
      </c>
      <c r="N26" s="10">
        <v>104400</v>
      </c>
      <c r="O26" s="10">
        <v>450520</v>
      </c>
      <c r="P26" s="10">
        <v>104600</v>
      </c>
      <c r="Q26" s="10">
        <v>65710</v>
      </c>
    </row>
    <row r="27" spans="2:17" x14ac:dyDescent="0.3">
      <c r="B27" s="9" t="s">
        <v>43</v>
      </c>
      <c r="C27" s="10">
        <f t="shared" si="0"/>
        <v>2122867</v>
      </c>
      <c r="D27" s="10">
        <f t="shared" si="1"/>
        <v>163297.46153846153</v>
      </c>
      <c r="E27" s="10">
        <v>0</v>
      </c>
      <c r="F27" s="10">
        <v>61700</v>
      </c>
      <c r="G27" s="10">
        <v>45600</v>
      </c>
      <c r="H27" s="10">
        <v>0</v>
      </c>
      <c r="I27" s="10">
        <v>0</v>
      </c>
      <c r="J27" s="10">
        <v>179200</v>
      </c>
      <c r="K27" s="10">
        <v>473021</v>
      </c>
      <c r="L27" s="10">
        <v>24497</v>
      </c>
      <c r="M27" s="10">
        <v>325583</v>
      </c>
      <c r="N27" s="10">
        <v>325583</v>
      </c>
      <c r="O27" s="10">
        <v>680183</v>
      </c>
      <c r="P27" s="10">
        <v>7500</v>
      </c>
      <c r="Q27" s="10">
        <v>0</v>
      </c>
    </row>
    <row r="28" spans="2:17" x14ac:dyDescent="0.3">
      <c r="B28" s="9" t="s">
        <v>44</v>
      </c>
      <c r="C28" s="10">
        <f t="shared" si="0"/>
        <v>8572939</v>
      </c>
      <c r="D28" s="10">
        <f t="shared" si="1"/>
        <v>659456.84615384613</v>
      </c>
      <c r="E28" s="10">
        <v>343015</v>
      </c>
      <c r="F28" s="10">
        <v>687391</v>
      </c>
      <c r="G28" s="10">
        <v>499473</v>
      </c>
      <c r="H28" s="10">
        <v>606560</v>
      </c>
      <c r="I28" s="10">
        <v>735089</v>
      </c>
      <c r="J28" s="10">
        <v>597739</v>
      </c>
      <c r="K28" s="10">
        <v>715789</v>
      </c>
      <c r="L28" s="10">
        <v>1301254</v>
      </c>
      <c r="M28" s="10">
        <v>287690</v>
      </c>
      <c r="N28" s="10">
        <v>249095</v>
      </c>
      <c r="O28" s="10">
        <v>878970</v>
      </c>
      <c r="P28" s="10">
        <v>1433394</v>
      </c>
      <c r="Q28" s="10">
        <v>237480</v>
      </c>
    </row>
    <row r="29" spans="2:17" x14ac:dyDescent="0.3">
      <c r="B29" s="9" t="s">
        <v>45</v>
      </c>
      <c r="C29" s="10">
        <f t="shared" si="0"/>
        <v>1721900</v>
      </c>
      <c r="D29" s="10">
        <f t="shared" si="1"/>
        <v>132453.84615384616</v>
      </c>
      <c r="E29" s="10">
        <v>10000</v>
      </c>
      <c r="F29" s="10">
        <v>0</v>
      </c>
      <c r="G29" s="10">
        <v>125000</v>
      </c>
      <c r="H29" s="10">
        <v>756500</v>
      </c>
      <c r="I29" s="10">
        <v>28700</v>
      </c>
      <c r="J29" s="10">
        <v>447500</v>
      </c>
      <c r="K29" s="10">
        <v>19500</v>
      </c>
      <c r="L29" s="10">
        <v>0</v>
      </c>
      <c r="M29" s="10">
        <v>0</v>
      </c>
      <c r="N29" s="10">
        <v>11300</v>
      </c>
      <c r="O29" s="10">
        <v>129700</v>
      </c>
      <c r="P29" s="10">
        <v>24100</v>
      </c>
      <c r="Q29" s="10">
        <v>169600</v>
      </c>
    </row>
    <row r="30" spans="2:17" x14ac:dyDescent="0.3">
      <c r="B30" s="9" t="s">
        <v>46</v>
      </c>
      <c r="C30" s="10">
        <f t="shared" si="0"/>
        <v>418840</v>
      </c>
      <c r="D30" s="10">
        <f t="shared" si="1"/>
        <v>32218.461538461539</v>
      </c>
      <c r="E30" s="10">
        <v>0</v>
      </c>
      <c r="F30" s="10">
        <v>33300</v>
      </c>
      <c r="G30" s="10">
        <v>47880</v>
      </c>
      <c r="H30" s="10">
        <v>28710</v>
      </c>
      <c r="I30" s="10">
        <v>0</v>
      </c>
      <c r="J30" s="10">
        <v>75150</v>
      </c>
      <c r="K30" s="10">
        <v>10000</v>
      </c>
      <c r="L30" s="10">
        <v>119900</v>
      </c>
      <c r="M30" s="10">
        <v>23900</v>
      </c>
      <c r="N30" s="10">
        <v>0</v>
      </c>
      <c r="O30" s="10">
        <v>0</v>
      </c>
      <c r="P30" s="10">
        <v>0</v>
      </c>
      <c r="Q30" s="10">
        <v>80000</v>
      </c>
    </row>
    <row r="31" spans="2:17" x14ac:dyDescent="0.3">
      <c r="B31" s="9" t="s">
        <v>47</v>
      </c>
      <c r="C31" s="10">
        <f t="shared" si="0"/>
        <v>2014300</v>
      </c>
      <c r="D31" s="10">
        <f t="shared" si="1"/>
        <v>154946.15384615384</v>
      </c>
      <c r="E31" s="10">
        <v>106000</v>
      </c>
      <c r="F31" s="10">
        <v>207200</v>
      </c>
      <c r="G31" s="10">
        <v>142800</v>
      </c>
      <c r="H31" s="10">
        <v>234300</v>
      </c>
      <c r="I31" s="10">
        <v>157500</v>
      </c>
      <c r="J31" s="10">
        <v>110800</v>
      </c>
      <c r="K31" s="10">
        <v>150500</v>
      </c>
      <c r="L31" s="10">
        <v>117000</v>
      </c>
      <c r="M31" s="10">
        <v>134600</v>
      </c>
      <c r="N31" s="10">
        <v>140000</v>
      </c>
      <c r="O31" s="10">
        <v>237600</v>
      </c>
      <c r="P31" s="10">
        <v>262500</v>
      </c>
      <c r="Q31" s="10">
        <v>13500</v>
      </c>
    </row>
    <row r="32" spans="2:17" x14ac:dyDescent="0.3">
      <c r="B32" s="9" t="s">
        <v>48</v>
      </c>
      <c r="C32" s="10">
        <f t="shared" si="0"/>
        <v>1026690</v>
      </c>
      <c r="D32" s="10">
        <f t="shared" si="1"/>
        <v>78976.153846153844</v>
      </c>
      <c r="E32" s="10">
        <v>35410</v>
      </c>
      <c r="F32" s="10">
        <v>87340</v>
      </c>
      <c r="G32" s="10">
        <v>79850</v>
      </c>
      <c r="H32" s="10">
        <v>65080</v>
      </c>
      <c r="I32" s="10">
        <v>71930</v>
      </c>
      <c r="J32" s="10">
        <v>87110</v>
      </c>
      <c r="K32" s="10">
        <v>73050</v>
      </c>
      <c r="L32" s="10">
        <v>85110</v>
      </c>
      <c r="M32" s="10">
        <v>102090</v>
      </c>
      <c r="N32" s="10">
        <v>92560</v>
      </c>
      <c r="O32" s="10">
        <v>75230</v>
      </c>
      <c r="P32" s="10">
        <v>87330</v>
      </c>
      <c r="Q32" s="10">
        <v>84600</v>
      </c>
    </row>
    <row r="33" spans="2:17" x14ac:dyDescent="0.3">
      <c r="B33" s="9" t="s">
        <v>49</v>
      </c>
      <c r="C33" s="10">
        <f t="shared" si="0"/>
        <v>1119400</v>
      </c>
      <c r="D33" s="10">
        <f t="shared" si="1"/>
        <v>86107.692307692312</v>
      </c>
      <c r="E33" s="10">
        <v>91990</v>
      </c>
      <c r="F33" s="10">
        <v>103150</v>
      </c>
      <c r="G33" s="10">
        <v>164710</v>
      </c>
      <c r="H33" s="10">
        <v>112800</v>
      </c>
      <c r="I33" s="10">
        <v>92690</v>
      </c>
      <c r="J33" s="10">
        <v>46240</v>
      </c>
      <c r="K33" s="10">
        <v>73720</v>
      </c>
      <c r="L33" s="10">
        <v>80790</v>
      </c>
      <c r="M33" s="10">
        <v>92110</v>
      </c>
      <c r="N33" s="10">
        <v>128200</v>
      </c>
      <c r="O33" s="10">
        <v>73920</v>
      </c>
      <c r="P33" s="10">
        <v>36120</v>
      </c>
      <c r="Q33" s="10">
        <v>22960</v>
      </c>
    </row>
    <row r="34" spans="2:17" x14ac:dyDescent="0.3">
      <c r="B34" s="9" t="s">
        <v>50</v>
      </c>
      <c r="C34" s="10">
        <f t="shared" si="0"/>
        <v>9521666</v>
      </c>
      <c r="D34" s="10">
        <f t="shared" si="1"/>
        <v>732435.84615384613</v>
      </c>
      <c r="E34" s="10">
        <v>488940</v>
      </c>
      <c r="F34" s="10">
        <v>2966361</v>
      </c>
      <c r="G34" s="10">
        <v>285360</v>
      </c>
      <c r="H34" s="10">
        <v>545880</v>
      </c>
      <c r="I34" s="10">
        <v>346520</v>
      </c>
      <c r="J34" s="10">
        <v>377940</v>
      </c>
      <c r="K34" s="10">
        <v>1898962</v>
      </c>
      <c r="L34" s="10">
        <v>151250</v>
      </c>
      <c r="M34" s="10">
        <v>95100</v>
      </c>
      <c r="N34" s="10">
        <v>237352</v>
      </c>
      <c r="O34" s="10">
        <v>438720</v>
      </c>
      <c r="P34" s="10">
        <v>1650981</v>
      </c>
      <c r="Q34" s="10">
        <v>38300</v>
      </c>
    </row>
    <row r="35" spans="2:17" x14ac:dyDescent="0.3">
      <c r="B35" s="11" t="s">
        <v>51</v>
      </c>
      <c r="C35" s="12">
        <f t="shared" si="0"/>
        <v>268324954</v>
      </c>
      <c r="D35" s="12">
        <f t="shared" si="1"/>
        <v>20640381.076923076</v>
      </c>
      <c r="E35" s="12">
        <f t="shared" ref="E35:Q35" si="3">SUM(E18:E34)</f>
        <v>2821574</v>
      </c>
      <c r="F35" s="12">
        <f t="shared" si="3"/>
        <v>6491004</v>
      </c>
      <c r="G35" s="12">
        <f t="shared" si="3"/>
        <v>23748716</v>
      </c>
      <c r="H35" s="12">
        <f t="shared" si="3"/>
        <v>4679467</v>
      </c>
      <c r="I35" s="12">
        <f t="shared" si="3"/>
        <v>3357899</v>
      </c>
      <c r="J35" s="12">
        <f t="shared" si="3"/>
        <v>5055195</v>
      </c>
      <c r="K35" s="12">
        <f t="shared" si="3"/>
        <v>6031425</v>
      </c>
      <c r="L35" s="12">
        <f t="shared" si="3"/>
        <v>3994890</v>
      </c>
      <c r="M35" s="12">
        <f t="shared" si="3"/>
        <v>2968677</v>
      </c>
      <c r="N35" s="12">
        <f t="shared" si="3"/>
        <v>2961141</v>
      </c>
      <c r="O35" s="12">
        <f t="shared" si="3"/>
        <v>84562592</v>
      </c>
      <c r="P35" s="12">
        <f t="shared" si="3"/>
        <v>120040544</v>
      </c>
      <c r="Q35" s="12">
        <f t="shared" si="3"/>
        <v>1611830</v>
      </c>
    </row>
    <row r="36" spans="2:17" x14ac:dyDescent="0.3">
      <c r="B36" s="13" t="s">
        <v>52</v>
      </c>
      <c r="C36" s="14">
        <f t="shared" si="0"/>
        <v>429778326</v>
      </c>
      <c r="D36" s="14">
        <f t="shared" si="1"/>
        <v>33059871.230769232</v>
      </c>
      <c r="E36" s="14">
        <f t="shared" ref="E36:Q36" si="4">E17-E35</f>
        <v>2370319</v>
      </c>
      <c r="F36" s="14">
        <f t="shared" si="4"/>
        <v>-912866</v>
      </c>
      <c r="G36" s="14">
        <f t="shared" si="4"/>
        <v>-18272890</v>
      </c>
      <c r="H36" s="14">
        <f t="shared" si="4"/>
        <v>819620</v>
      </c>
      <c r="I36" s="14">
        <f t="shared" si="4"/>
        <v>1824273</v>
      </c>
      <c r="J36" s="14">
        <f t="shared" si="4"/>
        <v>330492</v>
      </c>
      <c r="K36" s="14">
        <f t="shared" si="4"/>
        <v>28014</v>
      </c>
      <c r="L36" s="14">
        <f t="shared" si="4"/>
        <v>3855164</v>
      </c>
      <c r="M36" s="14">
        <f t="shared" si="4"/>
        <v>10757117</v>
      </c>
      <c r="N36" s="14">
        <f t="shared" si="4"/>
        <v>56038979</v>
      </c>
      <c r="O36" s="14">
        <f t="shared" si="4"/>
        <v>1961315</v>
      </c>
      <c r="P36" s="14">
        <f t="shared" si="4"/>
        <v>371842108</v>
      </c>
      <c r="Q36" s="14">
        <f t="shared" si="4"/>
        <v>-863319</v>
      </c>
    </row>
    <row r="39" spans="2:17" ht="20.25" x14ac:dyDescent="0.3">
      <c r="B39" s="1" t="s">
        <v>53</v>
      </c>
    </row>
    <row r="40" spans="2:17" x14ac:dyDescent="0.3">
      <c r="B40" t="s">
        <v>54</v>
      </c>
    </row>
    <row r="41" spans="2:17" x14ac:dyDescent="0.3">
      <c r="B41" s="46" t="s">
        <v>55</v>
      </c>
      <c r="C41" s="46"/>
      <c r="D41" s="46"/>
      <c r="E41" s="46"/>
      <c r="F41" s="47" t="s">
        <v>56</v>
      </c>
      <c r="G41" s="47"/>
      <c r="H41" s="47"/>
      <c r="I41" s="47"/>
    </row>
    <row r="42" spans="2:17" x14ac:dyDescent="0.3">
      <c r="B42" s="15" t="s">
        <v>12</v>
      </c>
      <c r="C42" s="48" t="s">
        <v>57</v>
      </c>
      <c r="D42" s="48"/>
      <c r="E42" s="16" t="s">
        <v>58</v>
      </c>
      <c r="F42" s="16" t="s">
        <v>12</v>
      </c>
      <c r="G42" s="48" t="s">
        <v>57</v>
      </c>
      <c r="H42" s="48"/>
      <c r="I42" s="16" t="s">
        <v>58</v>
      </c>
    </row>
    <row r="43" spans="2:17" x14ac:dyDescent="0.3">
      <c r="B43" s="49" t="s">
        <v>59</v>
      </c>
      <c r="C43" s="50" t="s">
        <v>60</v>
      </c>
      <c r="D43" s="50"/>
      <c r="E43" s="19">
        <v>3931685</v>
      </c>
      <c r="F43" s="20" t="s">
        <v>98</v>
      </c>
      <c r="G43" s="50" t="s">
        <v>99</v>
      </c>
      <c r="H43" s="50"/>
      <c r="I43" s="21">
        <v>600000000</v>
      </c>
    </row>
    <row r="44" spans="2:17" x14ac:dyDescent="0.3">
      <c r="B44" s="49"/>
      <c r="C44" s="50" t="s">
        <v>61</v>
      </c>
      <c r="D44" s="50"/>
      <c r="E44" s="19">
        <v>13090630</v>
      </c>
      <c r="F44" s="18"/>
      <c r="G44" s="50"/>
      <c r="H44" s="50"/>
      <c r="I44" s="22"/>
    </row>
    <row r="45" spans="2:17" x14ac:dyDescent="0.3">
      <c r="B45" s="49"/>
      <c r="C45" s="50" t="s">
        <v>62</v>
      </c>
      <c r="D45" s="50"/>
      <c r="E45" s="19">
        <v>41</v>
      </c>
      <c r="F45" s="18"/>
      <c r="G45" s="50"/>
      <c r="H45" s="50"/>
      <c r="I45" s="22"/>
    </row>
    <row r="46" spans="2:17" x14ac:dyDescent="0.3">
      <c r="B46" s="49"/>
      <c r="C46" s="50" t="s">
        <v>63</v>
      </c>
      <c r="D46" s="50"/>
      <c r="E46" s="19">
        <v>2</v>
      </c>
      <c r="F46" s="18"/>
      <c r="G46" s="50"/>
      <c r="H46" s="50"/>
      <c r="I46" s="22"/>
    </row>
    <row r="47" spans="2:17" x14ac:dyDescent="0.3">
      <c r="B47" s="49"/>
      <c r="C47" s="50" t="s">
        <v>64</v>
      </c>
      <c r="D47" s="50"/>
      <c r="E47" s="19">
        <v>3269297</v>
      </c>
      <c r="F47" s="18"/>
      <c r="G47" s="50"/>
      <c r="H47" s="50"/>
      <c r="I47" s="22"/>
    </row>
    <row r="48" spans="2:17" x14ac:dyDescent="0.3">
      <c r="B48" s="49"/>
      <c r="C48" s="50" t="s">
        <v>65</v>
      </c>
      <c r="D48" s="50"/>
      <c r="E48" s="19">
        <v>1107</v>
      </c>
      <c r="F48" s="18"/>
      <c r="G48" s="50"/>
      <c r="H48" s="50"/>
      <c r="I48" s="22"/>
    </row>
    <row r="49" spans="2:9" x14ac:dyDescent="0.3">
      <c r="B49" s="49"/>
      <c r="C49" s="50" t="s">
        <v>66</v>
      </c>
      <c r="D49" s="50"/>
      <c r="E49" s="19">
        <v>126</v>
      </c>
      <c r="F49" s="18"/>
      <c r="G49" s="50"/>
      <c r="H49" s="50"/>
      <c r="I49" s="22"/>
    </row>
    <row r="50" spans="2:9" x14ac:dyDescent="0.3">
      <c r="B50" s="49"/>
      <c r="C50" s="50" t="s">
        <v>67</v>
      </c>
      <c r="D50" s="50"/>
      <c r="E50" s="19">
        <v>6449648</v>
      </c>
      <c r="F50" s="18"/>
      <c r="G50" s="50"/>
      <c r="H50" s="50"/>
      <c r="I50" s="22"/>
    </row>
    <row r="51" spans="2:9" x14ac:dyDescent="0.3">
      <c r="B51" s="49"/>
      <c r="C51" s="50" t="s">
        <v>67</v>
      </c>
      <c r="D51" s="50"/>
      <c r="E51" s="19">
        <v>7000</v>
      </c>
      <c r="F51" s="18"/>
      <c r="G51" s="50"/>
      <c r="H51" s="50"/>
      <c r="I51" s="22"/>
    </row>
    <row r="52" spans="2:9" x14ac:dyDescent="0.3">
      <c r="B52" s="49"/>
      <c r="C52" s="50" t="s">
        <v>68</v>
      </c>
      <c r="D52" s="50"/>
      <c r="E52" s="19">
        <v>41506</v>
      </c>
      <c r="F52" s="18"/>
      <c r="G52" s="50"/>
      <c r="H52" s="50"/>
      <c r="I52" s="22"/>
    </row>
    <row r="53" spans="2:9" x14ac:dyDescent="0.3">
      <c r="B53" s="17" t="s">
        <v>69</v>
      </c>
      <c r="C53" s="50"/>
      <c r="D53" s="50"/>
      <c r="E53" s="19"/>
      <c r="F53" s="18"/>
      <c r="G53" s="50"/>
      <c r="H53" s="50"/>
      <c r="I53" s="22"/>
    </row>
    <row r="54" spans="2:9" x14ac:dyDescent="0.3">
      <c r="B54" s="17" t="s">
        <v>70</v>
      </c>
      <c r="C54" s="50" t="s">
        <v>71</v>
      </c>
      <c r="D54" s="50"/>
      <c r="E54" s="19">
        <v>0</v>
      </c>
      <c r="F54" s="18"/>
      <c r="G54" s="50"/>
      <c r="H54" s="50"/>
      <c r="I54" s="22"/>
    </row>
    <row r="55" spans="2:9" x14ac:dyDescent="0.3">
      <c r="B55" s="17" t="s">
        <v>72</v>
      </c>
      <c r="C55" s="50" t="s">
        <v>73</v>
      </c>
      <c r="D55" s="50"/>
      <c r="E55" s="19">
        <v>100000</v>
      </c>
      <c r="F55" s="18"/>
      <c r="G55" s="50"/>
      <c r="H55" s="50"/>
      <c r="I55" s="22"/>
    </row>
    <row r="56" spans="2:9" x14ac:dyDescent="0.3">
      <c r="B56" s="49" t="s">
        <v>74</v>
      </c>
      <c r="C56" s="50" t="s">
        <v>75</v>
      </c>
      <c r="D56" s="50"/>
      <c r="E56" s="19">
        <v>0</v>
      </c>
      <c r="F56" s="18"/>
      <c r="G56" s="50"/>
      <c r="H56" s="50"/>
      <c r="I56" s="22"/>
    </row>
    <row r="57" spans="2:9" x14ac:dyDescent="0.3">
      <c r="B57" s="49"/>
      <c r="C57" s="50" t="s">
        <v>76</v>
      </c>
      <c r="D57" s="50"/>
      <c r="E57" s="19">
        <v>0</v>
      </c>
      <c r="F57" s="18"/>
      <c r="G57" s="50"/>
      <c r="H57" s="50"/>
      <c r="I57" s="22"/>
    </row>
    <row r="58" spans="2:9" x14ac:dyDescent="0.3">
      <c r="B58" s="49"/>
      <c r="C58" s="50" t="s">
        <v>77</v>
      </c>
      <c r="D58" s="50"/>
      <c r="E58" s="19">
        <v>12000</v>
      </c>
      <c r="F58" s="18"/>
      <c r="G58" s="50"/>
      <c r="H58" s="50"/>
      <c r="I58" s="22"/>
    </row>
    <row r="59" spans="2:9" x14ac:dyDescent="0.3">
      <c r="B59" s="49"/>
      <c r="C59" s="50" t="s">
        <v>78</v>
      </c>
      <c r="D59" s="50"/>
      <c r="E59" s="19">
        <v>0</v>
      </c>
      <c r="F59" s="18"/>
      <c r="G59" s="50"/>
      <c r="H59" s="50"/>
      <c r="I59" s="22"/>
    </row>
    <row r="60" spans="2:9" x14ac:dyDescent="0.3">
      <c r="B60" s="49" t="s">
        <v>79</v>
      </c>
      <c r="C60" s="50" t="s">
        <v>80</v>
      </c>
      <c r="D60" s="50"/>
      <c r="E60" s="19">
        <v>1919980</v>
      </c>
      <c r="F60" s="18"/>
      <c r="G60" s="50"/>
      <c r="H60" s="50"/>
      <c r="I60" s="22"/>
    </row>
    <row r="61" spans="2:9" x14ac:dyDescent="0.3">
      <c r="B61" s="49"/>
      <c r="C61" s="50" t="s">
        <v>81</v>
      </c>
      <c r="D61" s="50"/>
      <c r="E61" s="19">
        <v>1726080</v>
      </c>
      <c r="F61" s="18"/>
      <c r="G61" s="50"/>
      <c r="H61" s="50"/>
      <c r="I61" s="22"/>
    </row>
    <row r="62" spans="2:9" x14ac:dyDescent="0.3">
      <c r="B62" s="49"/>
      <c r="C62" s="50" t="s">
        <v>82</v>
      </c>
      <c r="D62" s="50"/>
      <c r="E62" s="19">
        <v>20105</v>
      </c>
      <c r="F62" s="18"/>
      <c r="G62" s="50"/>
      <c r="H62" s="50"/>
      <c r="I62" s="22"/>
    </row>
    <row r="63" spans="2:9" x14ac:dyDescent="0.3">
      <c r="B63" s="49"/>
      <c r="C63" s="50" t="s">
        <v>83</v>
      </c>
      <c r="D63" s="50"/>
      <c r="E63" s="19">
        <v>446955.17499999999</v>
      </c>
      <c r="F63" s="18"/>
      <c r="G63" s="50"/>
      <c r="H63" s="50"/>
      <c r="I63" s="22"/>
    </row>
    <row r="64" spans="2:9" x14ac:dyDescent="0.3">
      <c r="B64" s="49"/>
      <c r="C64" s="50" t="s">
        <v>84</v>
      </c>
      <c r="D64" s="50"/>
      <c r="E64" s="19">
        <v>3481.8249999999998</v>
      </c>
      <c r="F64" s="18"/>
      <c r="G64" s="50"/>
      <c r="H64" s="50"/>
      <c r="I64" s="22"/>
    </row>
    <row r="65" spans="2:9" x14ac:dyDescent="0.3">
      <c r="B65" s="49"/>
      <c r="C65" s="50" t="s">
        <v>85</v>
      </c>
      <c r="D65" s="50"/>
      <c r="E65" s="19">
        <v>282</v>
      </c>
      <c r="F65" s="18"/>
      <c r="G65" s="50"/>
      <c r="H65" s="50"/>
      <c r="I65" s="22"/>
    </row>
    <row r="66" spans="2:9" x14ac:dyDescent="0.3">
      <c r="B66" s="49"/>
      <c r="C66" s="50" t="s">
        <v>86</v>
      </c>
      <c r="D66" s="50"/>
      <c r="E66" s="19">
        <v>693121</v>
      </c>
      <c r="F66" s="18"/>
      <c r="G66" s="50"/>
      <c r="H66" s="50"/>
      <c r="I66" s="22"/>
    </row>
    <row r="67" spans="2:9" x14ac:dyDescent="0.3">
      <c r="B67" s="49"/>
      <c r="C67" s="50" t="s">
        <v>87</v>
      </c>
      <c r="D67" s="50"/>
      <c r="E67" s="19">
        <v>1</v>
      </c>
      <c r="F67" s="18"/>
      <c r="G67" s="50"/>
      <c r="H67" s="50"/>
      <c r="I67" s="22"/>
    </row>
    <row r="68" spans="2:9" x14ac:dyDescent="0.3">
      <c r="B68" s="17" t="s">
        <v>88</v>
      </c>
      <c r="C68" s="50"/>
      <c r="D68" s="50"/>
      <c r="E68" s="19"/>
      <c r="F68" s="18"/>
      <c r="G68" s="50"/>
      <c r="H68" s="50"/>
      <c r="I68" s="22"/>
    </row>
    <row r="69" spans="2:9" x14ac:dyDescent="0.3">
      <c r="B69" s="17" t="s">
        <v>89</v>
      </c>
      <c r="C69" s="50"/>
      <c r="D69" s="50"/>
      <c r="E69" s="19"/>
      <c r="F69" s="18"/>
      <c r="G69" s="50"/>
      <c r="H69" s="50"/>
      <c r="I69" s="22"/>
    </row>
    <row r="70" spans="2:9" x14ac:dyDescent="0.3">
      <c r="B70" s="17" t="s">
        <v>90</v>
      </c>
      <c r="C70" s="50"/>
      <c r="D70" s="50"/>
      <c r="E70" s="19"/>
      <c r="F70" s="18"/>
      <c r="G70" s="50"/>
      <c r="H70" s="50"/>
      <c r="I70" s="22"/>
    </row>
    <row r="71" spans="2:9" x14ac:dyDescent="0.3">
      <c r="B71" s="49" t="s">
        <v>91</v>
      </c>
      <c r="C71" s="50" t="s">
        <v>92</v>
      </c>
      <c r="D71" s="50"/>
      <c r="E71" s="19">
        <v>0</v>
      </c>
      <c r="F71" s="18"/>
      <c r="G71" s="50"/>
      <c r="H71" s="50"/>
      <c r="I71" s="22"/>
    </row>
    <row r="72" spans="2:9" x14ac:dyDescent="0.3">
      <c r="B72" s="49"/>
      <c r="C72" s="50" t="s">
        <v>93</v>
      </c>
      <c r="D72" s="50"/>
      <c r="E72" s="19">
        <v>0</v>
      </c>
      <c r="F72" s="18"/>
      <c r="G72" s="50"/>
      <c r="H72" s="50"/>
      <c r="I72" s="22"/>
    </row>
    <row r="73" spans="2:9" x14ac:dyDescent="0.3">
      <c r="B73" s="49"/>
      <c r="C73" s="50" t="s">
        <v>94</v>
      </c>
      <c r="D73" s="50"/>
      <c r="E73" s="19">
        <v>0</v>
      </c>
      <c r="F73" s="18"/>
      <c r="G73" s="50"/>
      <c r="H73" s="50"/>
      <c r="I73" s="22"/>
    </row>
    <row r="74" spans="2:9" x14ac:dyDescent="0.3">
      <c r="B74" s="49"/>
      <c r="C74" s="50" t="s">
        <v>95</v>
      </c>
      <c r="D74" s="50"/>
      <c r="E74" s="19">
        <v>0</v>
      </c>
      <c r="F74" s="18"/>
      <c r="G74" s="50"/>
      <c r="H74" s="50"/>
      <c r="I74" s="22"/>
    </row>
    <row r="75" spans="2:9" x14ac:dyDescent="0.3">
      <c r="B75" s="49"/>
      <c r="C75" s="50" t="s">
        <v>96</v>
      </c>
      <c r="D75" s="50"/>
      <c r="E75" s="19">
        <v>0</v>
      </c>
      <c r="F75" s="18"/>
      <c r="G75" s="50"/>
      <c r="H75" s="50"/>
      <c r="I75" s="22"/>
    </row>
    <row r="76" spans="2:9" x14ac:dyDescent="0.3">
      <c r="B76" s="17" t="s">
        <v>97</v>
      </c>
      <c r="C76" s="50"/>
      <c r="D76" s="50"/>
      <c r="E76" s="19"/>
      <c r="F76" s="18"/>
      <c r="G76" s="50"/>
      <c r="H76" s="50"/>
      <c r="I76" s="22"/>
    </row>
    <row r="77" spans="2:9" x14ac:dyDescent="0.3">
      <c r="B77" s="51" t="s">
        <v>100</v>
      </c>
      <c r="C77" s="51"/>
      <c r="D77" s="51"/>
      <c r="E77" s="23">
        <f>SUM(E43:E76)</f>
        <v>31713048</v>
      </c>
      <c r="F77" s="52" t="s">
        <v>101</v>
      </c>
      <c r="G77" s="52"/>
      <c r="H77" s="52"/>
      <c r="I77" s="24">
        <f>SUM(I43:I76)</f>
        <v>600000000</v>
      </c>
    </row>
    <row r="78" spans="2:9" x14ac:dyDescent="0.3">
      <c r="B78" s="53" t="s">
        <v>102</v>
      </c>
      <c r="C78" s="53"/>
      <c r="D78" s="53"/>
      <c r="E78" s="53"/>
      <c r="F78" s="53"/>
      <c r="G78" s="53"/>
      <c r="H78" s="53"/>
      <c r="I78" s="53"/>
    </row>
    <row r="79" spans="2:9" x14ac:dyDescent="0.3">
      <c r="B79" s="54">
        <f>E77-I77</f>
        <v>-568286952</v>
      </c>
      <c r="C79" s="54"/>
      <c r="D79" s="54"/>
      <c r="E79" s="54"/>
      <c r="F79" s="54"/>
      <c r="G79" s="54"/>
      <c r="H79" s="54"/>
      <c r="I79" s="54"/>
    </row>
    <row r="82" spans="2:10" ht="20.25" x14ac:dyDescent="0.3">
      <c r="B82" s="1" t="s">
        <v>103</v>
      </c>
    </row>
    <row r="83" spans="2:10" x14ac:dyDescent="0.3">
      <c r="B83" t="s">
        <v>104</v>
      </c>
    </row>
    <row r="84" spans="2:10" x14ac:dyDescent="0.3">
      <c r="B84" s="25" t="s">
        <v>105</v>
      </c>
      <c r="C84" s="55" t="s">
        <v>106</v>
      </c>
      <c r="D84" s="55"/>
      <c r="E84" s="26" t="s">
        <v>107</v>
      </c>
      <c r="F84" s="26" t="s">
        <v>108</v>
      </c>
      <c r="G84" s="26" t="s">
        <v>109</v>
      </c>
      <c r="H84" s="26" t="s">
        <v>110</v>
      </c>
    </row>
    <row r="85" spans="2:10" x14ac:dyDescent="0.3">
      <c r="B85" s="27" t="s">
        <v>111</v>
      </c>
      <c r="C85" s="56" t="s">
        <v>92</v>
      </c>
      <c r="D85" s="56"/>
      <c r="E85" s="29" t="s">
        <v>112</v>
      </c>
      <c r="F85" s="30">
        <v>50000000</v>
      </c>
      <c r="G85" s="31">
        <v>43370</v>
      </c>
      <c r="H85" s="31">
        <v>48849</v>
      </c>
    </row>
    <row r="86" spans="2:10" x14ac:dyDescent="0.3">
      <c r="B86" s="27" t="s">
        <v>113</v>
      </c>
      <c r="C86" s="56" t="s">
        <v>93</v>
      </c>
      <c r="D86" s="56"/>
      <c r="E86" s="29" t="s">
        <v>112</v>
      </c>
      <c r="F86" s="30">
        <v>0</v>
      </c>
      <c r="G86" s="31">
        <v>45294</v>
      </c>
      <c r="H86" s="31">
        <v>47121</v>
      </c>
    </row>
    <row r="87" spans="2:10" x14ac:dyDescent="0.3">
      <c r="B87" s="27" t="s">
        <v>111</v>
      </c>
      <c r="C87" s="56" t="s">
        <v>94</v>
      </c>
      <c r="D87" s="56"/>
      <c r="E87" s="29" t="s">
        <v>112</v>
      </c>
      <c r="F87" s="30">
        <v>60000000</v>
      </c>
      <c r="G87" s="31">
        <v>43399</v>
      </c>
      <c r="H87" s="31">
        <v>401119</v>
      </c>
    </row>
    <row r="88" spans="2:10" x14ac:dyDescent="0.3">
      <c r="B88" s="27" t="s">
        <v>111</v>
      </c>
      <c r="C88" s="56" t="s">
        <v>95</v>
      </c>
      <c r="D88" s="56"/>
      <c r="E88" s="29" t="s">
        <v>112</v>
      </c>
      <c r="F88" s="30">
        <v>10000000</v>
      </c>
      <c r="G88" s="31">
        <v>43077</v>
      </c>
      <c r="H88" s="31">
        <v>50382</v>
      </c>
    </row>
    <row r="89" spans="2:10" x14ac:dyDescent="0.3">
      <c r="B89" s="27" t="s">
        <v>113</v>
      </c>
      <c r="C89" s="56" t="s">
        <v>96</v>
      </c>
      <c r="D89" s="56"/>
      <c r="E89" s="29" t="s">
        <v>112</v>
      </c>
      <c r="F89" s="30">
        <v>776330</v>
      </c>
      <c r="G89" s="31">
        <v>46211</v>
      </c>
      <c r="H89" s="31">
        <v>46576</v>
      </c>
    </row>
    <row r="90" spans="2:10" x14ac:dyDescent="0.3">
      <c r="B90" s="62" t="s">
        <v>13</v>
      </c>
      <c r="C90" s="58" t="s">
        <v>114</v>
      </c>
      <c r="D90" s="58"/>
      <c r="E90" s="32" t="s">
        <v>115</v>
      </c>
      <c r="F90" s="32" t="s">
        <v>116</v>
      </c>
      <c r="G90" s="32"/>
      <c r="H90" s="33"/>
    </row>
    <row r="91" spans="2:10" x14ac:dyDescent="0.3">
      <c r="B91" s="62"/>
      <c r="C91" s="59" t="s">
        <v>117</v>
      </c>
      <c r="D91" s="59"/>
      <c r="E91" s="34" t="s">
        <v>118</v>
      </c>
      <c r="F91" s="35">
        <f>SUM(F85:F89)</f>
        <v>120776330</v>
      </c>
      <c r="G91" s="34"/>
      <c r="H91" s="36"/>
    </row>
    <row r="93" spans="2:10" ht="20.25" x14ac:dyDescent="0.3">
      <c r="B93" s="1" t="s">
        <v>119</v>
      </c>
    </row>
    <row r="94" spans="2:10" x14ac:dyDescent="0.3">
      <c r="B94" t="s">
        <v>120</v>
      </c>
    </row>
    <row r="95" spans="2:10" x14ac:dyDescent="0.3">
      <c r="B95" s="25" t="s">
        <v>121</v>
      </c>
      <c r="C95" s="26" t="s">
        <v>105</v>
      </c>
      <c r="D95" s="55" t="s">
        <v>57</v>
      </c>
      <c r="E95" s="55"/>
      <c r="F95" s="26" t="s">
        <v>122</v>
      </c>
      <c r="G95" s="26" t="s">
        <v>123</v>
      </c>
      <c r="H95" s="26" t="s">
        <v>124</v>
      </c>
      <c r="I95" s="26" t="s">
        <v>125</v>
      </c>
      <c r="J95" s="26" t="s">
        <v>110</v>
      </c>
    </row>
    <row r="96" spans="2:10" x14ac:dyDescent="0.3">
      <c r="B96" s="27" t="s">
        <v>126</v>
      </c>
      <c r="C96" s="28" t="s">
        <v>127</v>
      </c>
      <c r="D96" s="56" t="s">
        <v>80</v>
      </c>
      <c r="E96" s="56"/>
      <c r="F96" s="30">
        <v>1277189</v>
      </c>
      <c r="G96" s="30">
        <v>1919980</v>
      </c>
      <c r="H96" s="37">
        <v>50.328573139918987</v>
      </c>
      <c r="I96" s="31"/>
      <c r="J96" s="31"/>
    </row>
    <row r="97" spans="2:10" x14ac:dyDescent="0.3">
      <c r="B97" s="27" t="s">
        <v>126</v>
      </c>
      <c r="C97" s="28" t="s">
        <v>127</v>
      </c>
      <c r="D97" s="56" t="s">
        <v>81</v>
      </c>
      <c r="E97" s="56"/>
      <c r="F97" s="30">
        <v>1737959</v>
      </c>
      <c r="G97" s="30">
        <v>1726080</v>
      </c>
      <c r="H97" s="37">
        <v>-0.68350289045944124</v>
      </c>
      <c r="I97" s="31"/>
      <c r="J97" s="31"/>
    </row>
    <row r="98" spans="2:10" x14ac:dyDescent="0.3">
      <c r="B98" s="57" t="s">
        <v>13</v>
      </c>
      <c r="C98" s="32"/>
      <c r="D98" s="58" t="s">
        <v>128</v>
      </c>
      <c r="E98" s="58"/>
      <c r="F98" s="32" t="s">
        <v>129</v>
      </c>
      <c r="G98" s="32" t="s">
        <v>130</v>
      </c>
      <c r="H98" s="32" t="s">
        <v>131</v>
      </c>
      <c r="I98" s="32"/>
      <c r="J98" s="33"/>
    </row>
    <row r="99" spans="2:10" x14ac:dyDescent="0.3">
      <c r="B99" s="57"/>
      <c r="C99" s="34"/>
      <c r="D99" s="59" t="s">
        <v>132</v>
      </c>
      <c r="E99" s="59"/>
      <c r="F99" s="35">
        <f>SUM(F96:F97)</f>
        <v>3015148</v>
      </c>
      <c r="G99" s="35">
        <f>SUM(G96:G97)</f>
        <v>3646060</v>
      </c>
      <c r="H99" s="38">
        <f>(SUM(G96:G97) - SUM(F96:F97)) * 100 / IF(SUM(F96:F97), SUM(F96:F97), 1)</f>
        <v>20.924743992666365</v>
      </c>
      <c r="I99" s="34"/>
      <c r="J99" s="36"/>
    </row>
    <row r="101" spans="2:10" ht="20.25" x14ac:dyDescent="0.3">
      <c r="B101" s="1" t="s">
        <v>133</v>
      </c>
    </row>
    <row r="102" spans="2:10" x14ac:dyDescent="0.3">
      <c r="B102" t="s">
        <v>134</v>
      </c>
    </row>
    <row r="103" spans="2:10" x14ac:dyDescent="0.3">
      <c r="B103" s="39" t="s">
        <v>135</v>
      </c>
      <c r="C103" s="40" t="s">
        <v>105</v>
      </c>
      <c r="D103" s="60" t="s">
        <v>57</v>
      </c>
      <c r="E103" s="60"/>
      <c r="F103" s="40" t="s">
        <v>136</v>
      </c>
      <c r="G103" s="40" t="s">
        <v>137</v>
      </c>
      <c r="H103" s="40" t="s">
        <v>138</v>
      </c>
      <c r="I103" s="40" t="s">
        <v>139</v>
      </c>
      <c r="J103" s="40" t="s">
        <v>140</v>
      </c>
    </row>
    <row r="104" spans="2:10" x14ac:dyDescent="0.3">
      <c r="B104" s="27" t="s">
        <v>141</v>
      </c>
      <c r="C104" s="28" t="s">
        <v>142</v>
      </c>
      <c r="D104" s="56" t="s">
        <v>99</v>
      </c>
      <c r="E104" s="56"/>
      <c r="F104" s="30">
        <v>600000000</v>
      </c>
      <c r="G104" s="30">
        <v>600000000</v>
      </c>
      <c r="H104" s="28">
        <v>4.08</v>
      </c>
      <c r="I104" s="31">
        <v>46192</v>
      </c>
      <c r="J104" s="31">
        <v>57123</v>
      </c>
    </row>
    <row r="105" spans="2:10" x14ac:dyDescent="0.3">
      <c r="B105" s="57" t="s">
        <v>13</v>
      </c>
      <c r="C105" s="32"/>
      <c r="D105" s="58" t="s">
        <v>143</v>
      </c>
      <c r="E105" s="58"/>
      <c r="F105" s="32" t="s">
        <v>144</v>
      </c>
      <c r="G105" s="32" t="s">
        <v>145</v>
      </c>
      <c r="H105" s="32"/>
      <c r="I105" s="32"/>
      <c r="J105" s="33"/>
    </row>
    <row r="106" spans="2:10" x14ac:dyDescent="0.3">
      <c r="B106" s="57"/>
      <c r="C106" s="34"/>
      <c r="D106" s="61">
        <f>SUM(1)</f>
        <v>1</v>
      </c>
      <c r="E106" s="61"/>
      <c r="F106" s="35">
        <f>SUM(F104)</f>
        <v>600000000</v>
      </c>
      <c r="G106" s="35">
        <f>SUM(G104)</f>
        <v>600000000</v>
      </c>
      <c r="H106" s="34"/>
      <c r="I106" s="34"/>
      <c r="J106" s="36"/>
    </row>
  </sheetData>
  <mergeCells count="102">
    <mergeCell ref="B98:B99"/>
    <mergeCell ref="D98:E98"/>
    <mergeCell ref="D99:E99"/>
    <mergeCell ref="D103:E103"/>
    <mergeCell ref="D104:E104"/>
    <mergeCell ref="B105:B106"/>
    <mergeCell ref="D105:E105"/>
    <mergeCell ref="D106:E106"/>
    <mergeCell ref="C87:D87"/>
    <mergeCell ref="C88:D88"/>
    <mergeCell ref="C89:D89"/>
    <mergeCell ref="B90:B91"/>
    <mergeCell ref="C90:D90"/>
    <mergeCell ref="C91:D91"/>
    <mergeCell ref="D95:E95"/>
    <mergeCell ref="D96:E96"/>
    <mergeCell ref="D97:E97"/>
    <mergeCell ref="G76:H76"/>
    <mergeCell ref="B77:D77"/>
    <mergeCell ref="F77:H77"/>
    <mergeCell ref="B78:I78"/>
    <mergeCell ref="B79:I79"/>
    <mergeCell ref="C84:D84"/>
    <mergeCell ref="C85:D85"/>
    <mergeCell ref="C86:D86"/>
    <mergeCell ref="C76:D76"/>
    <mergeCell ref="G53:H53"/>
    <mergeCell ref="G54:H54"/>
    <mergeCell ref="G55:H55"/>
    <mergeCell ref="G56:H56"/>
    <mergeCell ref="G57:H57"/>
    <mergeCell ref="G58:H58"/>
    <mergeCell ref="G59:H59"/>
    <mergeCell ref="G60:H6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61:H61"/>
    <mergeCell ref="G62:H62"/>
    <mergeCell ref="G63:H63"/>
    <mergeCell ref="G64:H64"/>
    <mergeCell ref="G65:H65"/>
    <mergeCell ref="C68:D68"/>
    <mergeCell ref="C69:D69"/>
    <mergeCell ref="C70:D70"/>
    <mergeCell ref="B71:B75"/>
    <mergeCell ref="C71:D71"/>
    <mergeCell ref="C72:D72"/>
    <mergeCell ref="C73:D73"/>
    <mergeCell ref="C74:D74"/>
    <mergeCell ref="C75:D7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C53:D53"/>
    <mergeCell ref="C54:D54"/>
    <mergeCell ref="C55:D55"/>
    <mergeCell ref="B56:B59"/>
    <mergeCell ref="C56:D56"/>
    <mergeCell ref="C57:D57"/>
    <mergeCell ref="C58:D58"/>
    <mergeCell ref="C59:D59"/>
    <mergeCell ref="B60:B67"/>
    <mergeCell ref="C60:D60"/>
    <mergeCell ref="C61:D61"/>
    <mergeCell ref="C62:D62"/>
    <mergeCell ref="C63:D63"/>
    <mergeCell ref="C64:D64"/>
    <mergeCell ref="C65:D65"/>
    <mergeCell ref="C66:D66"/>
    <mergeCell ref="C67:D67"/>
    <mergeCell ref="F5:G5"/>
    <mergeCell ref="F6:G6"/>
    <mergeCell ref="B41:E41"/>
    <mergeCell ref="F41:I41"/>
    <mergeCell ref="C42:D42"/>
    <mergeCell ref="G42:H42"/>
    <mergeCell ref="B43:B5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G52:H5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4"/>
  <sheetViews>
    <sheetView tabSelected="1" workbookViewId="0">
      <selection activeCell="C3" sqref="C3"/>
    </sheetView>
  </sheetViews>
  <sheetFormatPr defaultRowHeight="16.5" x14ac:dyDescent="0.3"/>
  <cols>
    <col min="1" max="1" width="15.75" customWidth="1"/>
    <col min="5" max="6" width="20.75" customWidth="1"/>
    <col min="7" max="7" width="37.5" customWidth="1"/>
  </cols>
  <sheetData>
    <row r="1" spans="1:7" x14ac:dyDescent="0.3">
      <c r="A1" s="41" t="s">
        <v>146</v>
      </c>
      <c r="B1" s="41" t="s">
        <v>147</v>
      </c>
      <c r="C1" s="41" t="s">
        <v>148</v>
      </c>
      <c r="D1" s="41" t="s">
        <v>149</v>
      </c>
      <c r="E1" s="41" t="s">
        <v>150</v>
      </c>
      <c r="F1" s="41" t="s">
        <v>58</v>
      </c>
      <c r="G1" s="41" t="s">
        <v>151</v>
      </c>
    </row>
    <row r="2" spans="1:7" x14ac:dyDescent="0.3">
      <c r="A2" s="42">
        <v>46216</v>
      </c>
      <c r="B2" s="43">
        <v>0.73108796296296297</v>
      </c>
      <c r="C2" t="s">
        <v>152</v>
      </c>
      <c r="D2" t="s">
        <v>37</v>
      </c>
      <c r="E2" t="s">
        <v>153</v>
      </c>
      <c r="F2">
        <v>-19400</v>
      </c>
      <c r="G2" t="s">
        <v>154</v>
      </c>
    </row>
    <row r="3" spans="1:7" x14ac:dyDescent="0.3">
      <c r="A3" s="42">
        <v>46216</v>
      </c>
      <c r="B3" s="43">
        <v>0.70185185185185184</v>
      </c>
      <c r="C3" t="s">
        <v>152</v>
      </c>
      <c r="D3" t="s">
        <v>37</v>
      </c>
      <c r="E3" t="s">
        <v>153</v>
      </c>
      <c r="F3">
        <v>19400</v>
      </c>
      <c r="G3" t="s">
        <v>154</v>
      </c>
    </row>
    <row r="4" spans="1:7" x14ac:dyDescent="0.3">
      <c r="A4" s="42">
        <v>46216</v>
      </c>
      <c r="B4" s="43">
        <v>0.6338773148148148</v>
      </c>
      <c r="C4" t="s">
        <v>152</v>
      </c>
      <c r="D4" t="s">
        <v>37</v>
      </c>
      <c r="E4" t="s">
        <v>153</v>
      </c>
      <c r="F4">
        <v>-19400</v>
      </c>
      <c r="G4" t="s">
        <v>154</v>
      </c>
    </row>
    <row r="5" spans="1:7" x14ac:dyDescent="0.3">
      <c r="A5" s="42">
        <v>46215</v>
      </c>
      <c r="B5" s="43">
        <v>0.45465277777777779</v>
      </c>
      <c r="C5" t="s">
        <v>155</v>
      </c>
      <c r="D5" t="s">
        <v>155</v>
      </c>
      <c r="E5" t="s">
        <v>157</v>
      </c>
      <c r="F5">
        <v>5500</v>
      </c>
      <c r="G5" t="s">
        <v>158</v>
      </c>
    </row>
    <row r="6" spans="1:7" x14ac:dyDescent="0.3">
      <c r="A6" s="42">
        <v>46215</v>
      </c>
      <c r="B6" s="43">
        <v>0.43040509259259258</v>
      </c>
      <c r="C6" t="s">
        <v>152</v>
      </c>
      <c r="D6" t="s">
        <v>44</v>
      </c>
      <c r="E6" t="s">
        <v>159</v>
      </c>
      <c r="F6">
        <v>-13900</v>
      </c>
      <c r="G6" t="s">
        <v>154</v>
      </c>
    </row>
    <row r="7" spans="1:7" x14ac:dyDescent="0.3">
      <c r="A7" s="42">
        <v>46215</v>
      </c>
      <c r="B7" s="43">
        <v>0.41097222222222218</v>
      </c>
      <c r="C7" t="s">
        <v>152</v>
      </c>
      <c r="D7" t="s">
        <v>36</v>
      </c>
      <c r="E7" t="s">
        <v>160</v>
      </c>
      <c r="F7">
        <v>-4700</v>
      </c>
      <c r="G7" t="s">
        <v>161</v>
      </c>
    </row>
    <row r="8" spans="1:7" x14ac:dyDescent="0.3">
      <c r="A8" s="42">
        <v>46215</v>
      </c>
      <c r="B8" s="43">
        <v>0.41097222222222218</v>
      </c>
      <c r="C8" t="s">
        <v>152</v>
      </c>
      <c r="D8" t="s">
        <v>36</v>
      </c>
      <c r="E8" t="s">
        <v>162</v>
      </c>
      <c r="F8">
        <v>-5400</v>
      </c>
      <c r="G8" t="s">
        <v>161</v>
      </c>
    </row>
    <row r="9" spans="1:7" x14ac:dyDescent="0.3">
      <c r="A9" s="42">
        <v>46215</v>
      </c>
      <c r="B9" s="43">
        <v>0.37634259259259262</v>
      </c>
      <c r="C9" t="s">
        <v>155</v>
      </c>
      <c r="D9" t="s">
        <v>163</v>
      </c>
      <c r="E9" t="s">
        <v>164</v>
      </c>
      <c r="F9">
        <v>10000</v>
      </c>
      <c r="G9" t="s">
        <v>158</v>
      </c>
    </row>
    <row r="10" spans="1:7" x14ac:dyDescent="0.3">
      <c r="A10" s="42">
        <v>46215</v>
      </c>
      <c r="B10" s="43">
        <v>0.37634259259259262</v>
      </c>
      <c r="C10" t="s">
        <v>152</v>
      </c>
      <c r="D10" t="s">
        <v>37</v>
      </c>
      <c r="E10" t="s">
        <v>165</v>
      </c>
      <c r="F10">
        <v>-4500</v>
      </c>
      <c r="G10" t="s">
        <v>158</v>
      </c>
    </row>
    <row r="11" spans="1:7" x14ac:dyDescent="0.3">
      <c r="A11" s="42">
        <v>46215</v>
      </c>
      <c r="B11" s="43">
        <v>0.37634259259259262</v>
      </c>
      <c r="C11" t="s">
        <v>155</v>
      </c>
      <c r="D11" t="s">
        <v>155</v>
      </c>
      <c r="E11" t="s">
        <v>889</v>
      </c>
      <c r="F11">
        <v>-10000</v>
      </c>
      <c r="G11" t="s">
        <v>61</v>
      </c>
    </row>
    <row r="12" spans="1:7" x14ac:dyDescent="0.3">
      <c r="A12" s="42">
        <v>46215</v>
      </c>
      <c r="B12" s="43">
        <v>0.37605324074074081</v>
      </c>
      <c r="C12" t="s">
        <v>152</v>
      </c>
      <c r="D12" t="s">
        <v>37</v>
      </c>
      <c r="E12" t="s">
        <v>165</v>
      </c>
      <c r="F12">
        <v>-4500</v>
      </c>
      <c r="G12" t="s">
        <v>158</v>
      </c>
    </row>
    <row r="13" spans="1:7" x14ac:dyDescent="0.3">
      <c r="A13" s="42">
        <v>46215</v>
      </c>
      <c r="B13" s="43">
        <v>0.37552083333333341</v>
      </c>
      <c r="C13" t="s">
        <v>155</v>
      </c>
      <c r="D13" t="s">
        <v>155</v>
      </c>
      <c r="E13" t="s">
        <v>167</v>
      </c>
      <c r="F13">
        <v>5500</v>
      </c>
      <c r="G13" t="s">
        <v>158</v>
      </c>
    </row>
    <row r="14" spans="1:7" x14ac:dyDescent="0.3">
      <c r="A14" s="42">
        <v>46214</v>
      </c>
      <c r="B14" s="43">
        <v>0.87811342592592589</v>
      </c>
      <c r="C14" t="s">
        <v>152</v>
      </c>
      <c r="D14" t="s">
        <v>40</v>
      </c>
      <c r="E14" t="s">
        <v>168</v>
      </c>
      <c r="F14">
        <v>-19200</v>
      </c>
      <c r="G14" t="s">
        <v>169</v>
      </c>
    </row>
    <row r="15" spans="1:7" x14ac:dyDescent="0.3">
      <c r="A15" s="42">
        <v>46214</v>
      </c>
      <c r="B15" s="43">
        <v>0.86130787037037038</v>
      </c>
      <c r="C15" t="s">
        <v>152</v>
      </c>
      <c r="D15" t="s">
        <v>40</v>
      </c>
      <c r="E15" t="s">
        <v>170</v>
      </c>
      <c r="F15">
        <v>-3920</v>
      </c>
      <c r="G15" t="s">
        <v>154</v>
      </c>
    </row>
    <row r="16" spans="1:7" x14ac:dyDescent="0.3">
      <c r="A16" s="42">
        <v>46214</v>
      </c>
      <c r="B16" s="43">
        <v>0.84472222222222226</v>
      </c>
      <c r="C16" t="s">
        <v>152</v>
      </c>
      <c r="D16" t="s">
        <v>40</v>
      </c>
      <c r="E16" t="s">
        <v>171</v>
      </c>
      <c r="F16">
        <v>-156960</v>
      </c>
      <c r="G16" t="s">
        <v>154</v>
      </c>
    </row>
    <row r="17" spans="1:7" x14ac:dyDescent="0.3">
      <c r="A17" s="42">
        <v>46214</v>
      </c>
      <c r="B17" s="43">
        <v>0.84410879629629632</v>
      </c>
      <c r="C17" t="s">
        <v>152</v>
      </c>
      <c r="D17" t="s">
        <v>40</v>
      </c>
      <c r="E17" t="s">
        <v>172</v>
      </c>
      <c r="F17">
        <v>166960</v>
      </c>
      <c r="G17" t="s">
        <v>169</v>
      </c>
    </row>
    <row r="18" spans="1:7" x14ac:dyDescent="0.3">
      <c r="A18" s="42">
        <v>46214</v>
      </c>
      <c r="B18" s="43">
        <v>0.84303240740740737</v>
      </c>
      <c r="C18" t="s">
        <v>152</v>
      </c>
      <c r="D18" t="s">
        <v>40</v>
      </c>
      <c r="E18" t="s">
        <v>173</v>
      </c>
      <c r="F18">
        <v>-100</v>
      </c>
      <c r="G18" t="s">
        <v>174</v>
      </c>
    </row>
    <row r="19" spans="1:7" x14ac:dyDescent="0.3">
      <c r="A19" s="42">
        <v>46214</v>
      </c>
      <c r="B19" s="43">
        <v>0.83546296296296296</v>
      </c>
      <c r="C19" t="s">
        <v>152</v>
      </c>
      <c r="D19" t="s">
        <v>40</v>
      </c>
      <c r="E19" t="s">
        <v>172</v>
      </c>
      <c r="F19">
        <v>-166960</v>
      </c>
      <c r="G19" t="s">
        <v>169</v>
      </c>
    </row>
    <row r="20" spans="1:7" x14ac:dyDescent="0.3">
      <c r="A20" s="42">
        <v>46214</v>
      </c>
      <c r="B20" s="43">
        <v>0.57341435185185186</v>
      </c>
      <c r="C20" t="s">
        <v>152</v>
      </c>
      <c r="D20" t="s">
        <v>40</v>
      </c>
      <c r="E20" t="s">
        <v>175</v>
      </c>
      <c r="F20">
        <v>-2000</v>
      </c>
      <c r="G20" t="s">
        <v>154</v>
      </c>
    </row>
    <row r="21" spans="1:7" x14ac:dyDescent="0.3">
      <c r="A21" s="42">
        <v>46213</v>
      </c>
      <c r="B21" s="43">
        <v>0.61078703703703707</v>
      </c>
      <c r="C21" t="s">
        <v>176</v>
      </c>
      <c r="D21" t="s">
        <v>32</v>
      </c>
      <c r="E21" t="s">
        <v>177</v>
      </c>
      <c r="F21">
        <v>566600</v>
      </c>
      <c r="G21" t="s">
        <v>61</v>
      </c>
    </row>
    <row r="22" spans="1:7" x14ac:dyDescent="0.3">
      <c r="A22" s="42">
        <v>46213</v>
      </c>
      <c r="B22" s="43">
        <v>0.5836689814814815</v>
      </c>
      <c r="C22" t="s">
        <v>176</v>
      </c>
      <c r="D22" t="s">
        <v>28</v>
      </c>
      <c r="E22" t="s">
        <v>178</v>
      </c>
      <c r="F22">
        <v>27240</v>
      </c>
      <c r="G22" t="s">
        <v>61</v>
      </c>
    </row>
    <row r="23" spans="1:7" x14ac:dyDescent="0.3">
      <c r="A23" s="42">
        <v>46213</v>
      </c>
      <c r="B23" s="43">
        <v>0.46304398148148151</v>
      </c>
      <c r="C23" t="s">
        <v>152</v>
      </c>
      <c r="D23" t="s">
        <v>44</v>
      </c>
      <c r="E23" t="s">
        <v>179</v>
      </c>
      <c r="F23">
        <v>-34900</v>
      </c>
      <c r="G23" t="s">
        <v>180</v>
      </c>
    </row>
    <row r="24" spans="1:7" x14ac:dyDescent="0.3">
      <c r="A24" s="42">
        <v>46212</v>
      </c>
      <c r="B24" s="43">
        <v>0.65804398148148147</v>
      </c>
      <c r="C24" t="s">
        <v>152</v>
      </c>
      <c r="D24" t="s">
        <v>42</v>
      </c>
      <c r="E24" t="s">
        <v>181</v>
      </c>
      <c r="F24">
        <v>-26900</v>
      </c>
      <c r="G24" t="s">
        <v>182</v>
      </c>
    </row>
    <row r="25" spans="1:7" x14ac:dyDescent="0.3">
      <c r="A25" s="42">
        <v>46212</v>
      </c>
      <c r="B25" s="43">
        <v>0.53268518518518515</v>
      </c>
      <c r="C25" t="s">
        <v>152</v>
      </c>
      <c r="D25" t="s">
        <v>42</v>
      </c>
      <c r="E25" t="s">
        <v>183</v>
      </c>
      <c r="F25">
        <v>-30000</v>
      </c>
      <c r="G25" t="s">
        <v>154</v>
      </c>
    </row>
    <row r="26" spans="1:7" x14ac:dyDescent="0.3">
      <c r="A26" s="42">
        <v>46212</v>
      </c>
      <c r="B26" s="43">
        <v>0.51314814814814813</v>
      </c>
      <c r="C26" t="s">
        <v>152</v>
      </c>
      <c r="D26" t="s">
        <v>50</v>
      </c>
      <c r="E26" t="s">
        <v>184</v>
      </c>
      <c r="F26">
        <v>-10300</v>
      </c>
      <c r="G26" t="s">
        <v>154</v>
      </c>
    </row>
    <row r="27" spans="1:7" x14ac:dyDescent="0.3">
      <c r="A27" s="42">
        <v>46212</v>
      </c>
      <c r="B27" s="43">
        <v>0.41130787037037042</v>
      </c>
      <c r="C27" t="s">
        <v>152</v>
      </c>
      <c r="D27" t="s">
        <v>48</v>
      </c>
      <c r="E27" t="s">
        <v>185</v>
      </c>
      <c r="F27">
        <v>-56600</v>
      </c>
      <c r="G27" t="s">
        <v>186</v>
      </c>
    </row>
    <row r="28" spans="1:7" x14ac:dyDescent="0.3">
      <c r="A28" s="42">
        <v>46212</v>
      </c>
      <c r="B28" s="43">
        <v>0.41052083333333328</v>
      </c>
      <c r="C28" t="s">
        <v>152</v>
      </c>
      <c r="D28" t="s">
        <v>36</v>
      </c>
      <c r="E28" t="s">
        <v>187</v>
      </c>
      <c r="F28">
        <v>-1050</v>
      </c>
      <c r="G28" t="s">
        <v>161</v>
      </c>
    </row>
    <row r="29" spans="1:7" x14ac:dyDescent="0.3">
      <c r="A29" s="42">
        <v>46212</v>
      </c>
      <c r="B29" s="43">
        <v>0.41052083333333328</v>
      </c>
      <c r="C29" t="s">
        <v>152</v>
      </c>
      <c r="D29" t="s">
        <v>36</v>
      </c>
      <c r="E29" t="s">
        <v>188</v>
      </c>
      <c r="F29">
        <v>-12550</v>
      </c>
      <c r="G29" t="s">
        <v>161</v>
      </c>
    </row>
    <row r="30" spans="1:7" x14ac:dyDescent="0.3">
      <c r="A30" s="42">
        <v>46211</v>
      </c>
      <c r="B30" s="43">
        <v>0.79402777777777778</v>
      </c>
      <c r="C30" t="s">
        <v>152</v>
      </c>
      <c r="D30" t="s">
        <v>40</v>
      </c>
      <c r="E30" t="s">
        <v>189</v>
      </c>
      <c r="F30">
        <v>-5500</v>
      </c>
      <c r="G30" t="s">
        <v>169</v>
      </c>
    </row>
    <row r="31" spans="1:7" x14ac:dyDescent="0.3">
      <c r="A31" s="42">
        <v>46211</v>
      </c>
      <c r="B31" s="43">
        <v>0.75340277777777775</v>
      </c>
      <c r="C31" t="s">
        <v>152</v>
      </c>
      <c r="D31" t="s">
        <v>44</v>
      </c>
      <c r="E31" t="s">
        <v>190</v>
      </c>
      <c r="F31">
        <v>-20100</v>
      </c>
      <c r="G31" t="s">
        <v>154</v>
      </c>
    </row>
    <row r="32" spans="1:7" x14ac:dyDescent="0.3">
      <c r="A32" s="42">
        <v>46211</v>
      </c>
      <c r="B32" s="43">
        <v>0.73755787037037035</v>
      </c>
      <c r="C32" t="s">
        <v>176</v>
      </c>
      <c r="D32" t="s">
        <v>32</v>
      </c>
      <c r="E32" t="s">
        <v>191</v>
      </c>
      <c r="F32">
        <v>154671</v>
      </c>
      <c r="G32" t="s">
        <v>61</v>
      </c>
    </row>
    <row r="33" spans="1:7" x14ac:dyDescent="0.3">
      <c r="A33" s="42">
        <v>46211</v>
      </c>
      <c r="B33" s="43">
        <v>0.73431712962962958</v>
      </c>
      <c r="C33" t="s">
        <v>152</v>
      </c>
      <c r="D33" t="s">
        <v>44</v>
      </c>
      <c r="E33" t="s">
        <v>190</v>
      </c>
      <c r="F33">
        <v>-27840</v>
      </c>
      <c r="G33" t="s">
        <v>154</v>
      </c>
    </row>
    <row r="34" spans="1:7" x14ac:dyDescent="0.3">
      <c r="A34" s="42">
        <v>46210</v>
      </c>
      <c r="B34" s="43">
        <v>0.80877314814814816</v>
      </c>
      <c r="C34" t="s">
        <v>152</v>
      </c>
      <c r="D34" t="s">
        <v>44</v>
      </c>
      <c r="E34" t="s">
        <v>190</v>
      </c>
      <c r="F34">
        <v>-9900</v>
      </c>
      <c r="G34" t="s">
        <v>154</v>
      </c>
    </row>
    <row r="35" spans="1:7" x14ac:dyDescent="0.3">
      <c r="A35" s="42">
        <v>46210</v>
      </c>
      <c r="B35" s="43">
        <v>0.67026620370370371</v>
      </c>
      <c r="C35" t="s">
        <v>152</v>
      </c>
      <c r="D35" t="s">
        <v>50</v>
      </c>
      <c r="E35" t="s">
        <v>184</v>
      </c>
      <c r="F35">
        <v>-3200</v>
      </c>
      <c r="G35" t="s">
        <v>169</v>
      </c>
    </row>
    <row r="36" spans="1:7" x14ac:dyDescent="0.3">
      <c r="A36" s="42">
        <v>46210</v>
      </c>
      <c r="B36" s="43">
        <v>0.41037037037037039</v>
      </c>
      <c r="C36" t="s">
        <v>152</v>
      </c>
      <c r="D36" t="s">
        <v>50</v>
      </c>
      <c r="E36" t="s">
        <v>184</v>
      </c>
      <c r="F36">
        <v>-1600</v>
      </c>
      <c r="G36" t="s">
        <v>169</v>
      </c>
    </row>
    <row r="37" spans="1:7" x14ac:dyDescent="0.3">
      <c r="A37" s="42">
        <v>46210</v>
      </c>
      <c r="B37" s="43">
        <v>0.38055555555555548</v>
      </c>
      <c r="C37" t="s">
        <v>152</v>
      </c>
      <c r="D37" t="s">
        <v>42</v>
      </c>
      <c r="E37" t="s">
        <v>192</v>
      </c>
      <c r="F37">
        <v>-8810</v>
      </c>
      <c r="G37" t="s">
        <v>182</v>
      </c>
    </row>
    <row r="38" spans="1:7" x14ac:dyDescent="0.3">
      <c r="A38" s="42">
        <v>46209</v>
      </c>
      <c r="B38" s="43">
        <v>0.70805555555555555</v>
      </c>
      <c r="C38" t="s">
        <v>152</v>
      </c>
      <c r="D38" t="s">
        <v>44</v>
      </c>
      <c r="E38" t="s">
        <v>190</v>
      </c>
      <c r="F38">
        <v>-11900</v>
      </c>
      <c r="G38" t="s">
        <v>154</v>
      </c>
    </row>
    <row r="39" spans="1:7" x14ac:dyDescent="0.3">
      <c r="A39" s="42">
        <v>46209</v>
      </c>
      <c r="B39" s="43">
        <v>0.56168981481481484</v>
      </c>
      <c r="C39" t="s">
        <v>155</v>
      </c>
      <c r="D39" t="s">
        <v>163</v>
      </c>
      <c r="E39" t="s">
        <v>164</v>
      </c>
      <c r="F39">
        <v>26900</v>
      </c>
      <c r="G39" t="s">
        <v>158</v>
      </c>
    </row>
    <row r="40" spans="1:7" x14ac:dyDescent="0.3">
      <c r="A40" s="42">
        <v>46209</v>
      </c>
      <c r="B40" s="43">
        <v>0.56168981481481484</v>
      </c>
      <c r="C40" t="s">
        <v>155</v>
      </c>
      <c r="D40" t="s">
        <v>155</v>
      </c>
      <c r="E40" t="s">
        <v>193</v>
      </c>
      <c r="F40">
        <v>-30000</v>
      </c>
      <c r="G40" t="s">
        <v>158</v>
      </c>
    </row>
    <row r="41" spans="1:7" x14ac:dyDescent="0.3">
      <c r="A41" s="42">
        <v>46209</v>
      </c>
      <c r="B41" s="43">
        <v>0.56168981481481484</v>
      </c>
      <c r="C41" t="s">
        <v>155</v>
      </c>
      <c r="D41" t="s">
        <v>155</v>
      </c>
      <c r="E41" t="s">
        <v>166</v>
      </c>
      <c r="F41">
        <v>-26900</v>
      </c>
      <c r="G41" t="s">
        <v>61</v>
      </c>
    </row>
    <row r="42" spans="1:7" x14ac:dyDescent="0.3">
      <c r="A42" s="42">
        <v>46209</v>
      </c>
      <c r="B42" s="43">
        <v>0.56087962962962967</v>
      </c>
      <c r="C42" t="s">
        <v>152</v>
      </c>
      <c r="D42" t="s">
        <v>37</v>
      </c>
      <c r="E42" t="s">
        <v>194</v>
      </c>
      <c r="F42">
        <v>-591000</v>
      </c>
      <c r="G42" t="s">
        <v>174</v>
      </c>
    </row>
    <row r="43" spans="1:7" x14ac:dyDescent="0.3">
      <c r="A43" s="42">
        <v>46209</v>
      </c>
      <c r="B43" s="43">
        <v>0.54805555555555552</v>
      </c>
      <c r="C43" t="s">
        <v>152</v>
      </c>
      <c r="D43" t="s">
        <v>37</v>
      </c>
      <c r="E43" t="s">
        <v>195</v>
      </c>
      <c r="F43">
        <v>-49900</v>
      </c>
      <c r="G43" t="s">
        <v>154</v>
      </c>
    </row>
    <row r="44" spans="1:7" x14ac:dyDescent="0.3">
      <c r="A44" s="42">
        <v>46209</v>
      </c>
      <c r="B44" s="43">
        <v>0.47343750000000001</v>
      </c>
      <c r="C44" t="s">
        <v>152</v>
      </c>
      <c r="D44" t="s">
        <v>44</v>
      </c>
      <c r="E44" t="s">
        <v>196</v>
      </c>
      <c r="F44">
        <v>-56000</v>
      </c>
      <c r="G44" t="s">
        <v>174</v>
      </c>
    </row>
    <row r="45" spans="1:7" x14ac:dyDescent="0.3">
      <c r="A45" s="42">
        <v>46209</v>
      </c>
      <c r="B45" s="43">
        <v>0.42216435185185192</v>
      </c>
      <c r="C45" t="s">
        <v>155</v>
      </c>
      <c r="D45" t="s">
        <v>155</v>
      </c>
      <c r="E45" t="s">
        <v>197</v>
      </c>
      <c r="F45">
        <v>-6000</v>
      </c>
      <c r="G45" t="s">
        <v>158</v>
      </c>
    </row>
    <row r="46" spans="1:7" x14ac:dyDescent="0.3">
      <c r="A46" s="42">
        <v>46209</v>
      </c>
      <c r="B46" s="43">
        <v>0.30283564814814817</v>
      </c>
      <c r="C46" t="s">
        <v>152</v>
      </c>
      <c r="D46" t="s">
        <v>44</v>
      </c>
      <c r="E46" t="s">
        <v>190</v>
      </c>
      <c r="F46">
        <v>-29350</v>
      </c>
      <c r="G46" t="s">
        <v>154</v>
      </c>
    </row>
    <row r="47" spans="1:7" x14ac:dyDescent="0.3">
      <c r="A47" s="42">
        <v>46208</v>
      </c>
      <c r="B47" s="43">
        <v>0.97016203703703707</v>
      </c>
      <c r="C47" t="s">
        <v>152</v>
      </c>
      <c r="D47" t="s">
        <v>46</v>
      </c>
      <c r="E47" t="s">
        <v>198</v>
      </c>
      <c r="F47">
        <v>-14486</v>
      </c>
      <c r="G47" t="s">
        <v>199</v>
      </c>
    </row>
    <row r="48" spans="1:7" x14ac:dyDescent="0.3">
      <c r="A48" s="42">
        <v>46208</v>
      </c>
      <c r="B48" s="43">
        <v>0.97016203703703707</v>
      </c>
      <c r="C48" t="s">
        <v>152</v>
      </c>
      <c r="D48" t="s">
        <v>46</v>
      </c>
      <c r="E48" t="s">
        <v>198</v>
      </c>
      <c r="F48">
        <v>-65514</v>
      </c>
      <c r="G48" t="s">
        <v>182</v>
      </c>
    </row>
    <row r="49" spans="1:7" x14ac:dyDescent="0.3">
      <c r="A49" s="42">
        <v>46208</v>
      </c>
      <c r="B49" s="43">
        <v>0.81745370370370374</v>
      </c>
      <c r="C49" t="s">
        <v>152</v>
      </c>
      <c r="D49" t="s">
        <v>49</v>
      </c>
      <c r="E49" t="s">
        <v>200</v>
      </c>
      <c r="F49">
        <v>-7760</v>
      </c>
      <c r="G49" t="s">
        <v>199</v>
      </c>
    </row>
    <row r="50" spans="1:7" x14ac:dyDescent="0.3">
      <c r="A50" s="42">
        <v>46208</v>
      </c>
      <c r="B50" s="43">
        <v>0.46629629629629632</v>
      </c>
      <c r="C50" t="s">
        <v>152</v>
      </c>
      <c r="D50" t="s">
        <v>40</v>
      </c>
      <c r="E50" t="s">
        <v>201</v>
      </c>
      <c r="F50">
        <v>-13400</v>
      </c>
      <c r="G50" t="s">
        <v>169</v>
      </c>
    </row>
    <row r="51" spans="1:7" x14ac:dyDescent="0.3">
      <c r="A51" s="42">
        <v>46207</v>
      </c>
      <c r="B51" s="43">
        <v>0.7618287037037037</v>
      </c>
      <c r="C51" t="s">
        <v>155</v>
      </c>
      <c r="D51" t="s">
        <v>155</v>
      </c>
      <c r="E51" t="s">
        <v>202</v>
      </c>
      <c r="F51">
        <v>-4750000</v>
      </c>
      <c r="G51" t="s">
        <v>61</v>
      </c>
    </row>
    <row r="52" spans="1:7" x14ac:dyDescent="0.3">
      <c r="A52" s="42">
        <v>46207</v>
      </c>
      <c r="B52" s="43">
        <v>0.65883101851851855</v>
      </c>
      <c r="C52" t="s">
        <v>152</v>
      </c>
      <c r="D52" t="s">
        <v>48</v>
      </c>
      <c r="E52" t="s">
        <v>203</v>
      </c>
      <c r="F52">
        <v>-28000</v>
      </c>
      <c r="G52" t="s">
        <v>169</v>
      </c>
    </row>
    <row r="53" spans="1:7" x14ac:dyDescent="0.3">
      <c r="A53" s="42">
        <v>46207</v>
      </c>
      <c r="B53" s="43">
        <v>0.62339120370370371</v>
      </c>
      <c r="C53" t="s">
        <v>152</v>
      </c>
      <c r="D53" t="s">
        <v>49</v>
      </c>
      <c r="E53" t="s">
        <v>204</v>
      </c>
      <c r="F53">
        <v>-4000</v>
      </c>
      <c r="G53" t="s">
        <v>169</v>
      </c>
    </row>
    <row r="54" spans="1:7" x14ac:dyDescent="0.3">
      <c r="A54" s="42">
        <v>46207</v>
      </c>
      <c r="B54" s="43">
        <v>0.3923611111111111</v>
      </c>
      <c r="C54" t="s">
        <v>152</v>
      </c>
      <c r="D54" t="s">
        <v>50</v>
      </c>
      <c r="E54" t="s">
        <v>205</v>
      </c>
      <c r="F54">
        <v>-12000</v>
      </c>
      <c r="G54" t="s">
        <v>169</v>
      </c>
    </row>
    <row r="55" spans="1:7" x14ac:dyDescent="0.3">
      <c r="A55" s="42">
        <v>46206</v>
      </c>
      <c r="B55" s="43">
        <v>0.78518518518518521</v>
      </c>
      <c r="C55" t="s">
        <v>152</v>
      </c>
      <c r="D55" t="s">
        <v>44</v>
      </c>
      <c r="E55" t="s">
        <v>190</v>
      </c>
      <c r="F55">
        <v>-6690</v>
      </c>
      <c r="G55" t="s">
        <v>154</v>
      </c>
    </row>
    <row r="56" spans="1:7" x14ac:dyDescent="0.3">
      <c r="A56" s="42">
        <v>46206</v>
      </c>
      <c r="B56" s="43">
        <v>0.64892361111111108</v>
      </c>
      <c r="C56" t="s">
        <v>152</v>
      </c>
      <c r="D56" t="s">
        <v>50</v>
      </c>
      <c r="E56" t="s">
        <v>184</v>
      </c>
      <c r="F56">
        <v>-3200</v>
      </c>
      <c r="G56" t="s">
        <v>169</v>
      </c>
    </row>
    <row r="57" spans="1:7" x14ac:dyDescent="0.3">
      <c r="A57" s="42">
        <v>46206</v>
      </c>
      <c r="B57" s="43">
        <v>0.51504629629629628</v>
      </c>
      <c r="C57" t="s">
        <v>152</v>
      </c>
      <c r="D57" t="s">
        <v>40</v>
      </c>
      <c r="E57" t="s">
        <v>206</v>
      </c>
      <c r="F57">
        <v>-5600</v>
      </c>
      <c r="G57" t="s">
        <v>169</v>
      </c>
    </row>
    <row r="58" spans="1:7" x14ac:dyDescent="0.3">
      <c r="A58" s="42">
        <v>46206</v>
      </c>
      <c r="B58" s="43">
        <v>0.50975694444444442</v>
      </c>
      <c r="C58" t="s">
        <v>152</v>
      </c>
      <c r="D58" t="s">
        <v>45</v>
      </c>
      <c r="E58" t="s">
        <v>207</v>
      </c>
      <c r="F58">
        <v>-10000</v>
      </c>
      <c r="G58" t="s">
        <v>169</v>
      </c>
    </row>
    <row r="59" spans="1:7" x14ac:dyDescent="0.3">
      <c r="A59" s="42">
        <v>46206</v>
      </c>
      <c r="B59" s="43">
        <v>0.50891203703703702</v>
      </c>
      <c r="C59" t="s">
        <v>152</v>
      </c>
      <c r="D59" t="s">
        <v>45</v>
      </c>
      <c r="E59" t="s">
        <v>207</v>
      </c>
      <c r="F59">
        <v>-159600</v>
      </c>
      <c r="G59" t="s">
        <v>169</v>
      </c>
    </row>
    <row r="60" spans="1:7" x14ac:dyDescent="0.3">
      <c r="A60" s="42">
        <v>46206</v>
      </c>
      <c r="B60" s="43">
        <v>0.46508101851851852</v>
      </c>
      <c r="C60" t="s">
        <v>155</v>
      </c>
      <c r="D60" t="s">
        <v>155</v>
      </c>
      <c r="E60" t="s">
        <v>208</v>
      </c>
      <c r="F60">
        <v>-50000</v>
      </c>
      <c r="G60" t="s">
        <v>60</v>
      </c>
    </row>
    <row r="61" spans="1:7" x14ac:dyDescent="0.3">
      <c r="A61" s="42">
        <v>46205</v>
      </c>
      <c r="B61" s="43">
        <v>0.81178240740740737</v>
      </c>
      <c r="C61" t="s">
        <v>152</v>
      </c>
      <c r="D61" t="s">
        <v>44</v>
      </c>
      <c r="E61" t="s">
        <v>190</v>
      </c>
      <c r="F61">
        <v>-26900</v>
      </c>
      <c r="G61" t="s">
        <v>154</v>
      </c>
    </row>
    <row r="62" spans="1:7" x14ac:dyDescent="0.3">
      <c r="A62" s="42">
        <v>46205</v>
      </c>
      <c r="B62" s="43">
        <v>0.64571759259259254</v>
      </c>
      <c r="C62" t="s">
        <v>152</v>
      </c>
      <c r="D62" t="s">
        <v>50</v>
      </c>
      <c r="E62" t="s">
        <v>184</v>
      </c>
      <c r="F62">
        <v>-3200</v>
      </c>
      <c r="G62" t="s">
        <v>169</v>
      </c>
    </row>
    <row r="63" spans="1:7" x14ac:dyDescent="0.3">
      <c r="A63" s="42">
        <v>46205</v>
      </c>
      <c r="B63" s="43">
        <v>0.40155092592592601</v>
      </c>
      <c r="C63" t="s">
        <v>152</v>
      </c>
      <c r="D63" t="s">
        <v>50</v>
      </c>
      <c r="E63" t="s">
        <v>184</v>
      </c>
      <c r="F63">
        <v>-1600</v>
      </c>
      <c r="G63" t="s">
        <v>169</v>
      </c>
    </row>
    <row r="64" spans="1:7" x14ac:dyDescent="0.3">
      <c r="A64" s="42">
        <v>46205</v>
      </c>
      <c r="B64" s="43">
        <v>0</v>
      </c>
      <c r="C64" t="s">
        <v>152</v>
      </c>
      <c r="D64" t="s">
        <v>47</v>
      </c>
      <c r="E64" t="s">
        <v>209</v>
      </c>
      <c r="F64">
        <v>15000</v>
      </c>
      <c r="G64" t="s">
        <v>154</v>
      </c>
    </row>
    <row r="65" spans="1:7" x14ac:dyDescent="0.3">
      <c r="A65" s="42">
        <v>46204</v>
      </c>
      <c r="B65" s="43">
        <v>0.87880787037037034</v>
      </c>
      <c r="C65" t="s">
        <v>155</v>
      </c>
      <c r="D65" t="s">
        <v>155</v>
      </c>
      <c r="E65" t="s">
        <v>210</v>
      </c>
      <c r="F65">
        <v>213000</v>
      </c>
      <c r="G65" t="s">
        <v>60</v>
      </c>
    </row>
    <row r="66" spans="1:7" x14ac:dyDescent="0.3">
      <c r="A66" s="42">
        <v>46204</v>
      </c>
      <c r="B66" s="43">
        <v>0.86798611111111112</v>
      </c>
      <c r="C66" t="s">
        <v>152</v>
      </c>
      <c r="D66" t="s">
        <v>49</v>
      </c>
      <c r="E66" t="s">
        <v>211</v>
      </c>
      <c r="F66">
        <v>-11200</v>
      </c>
      <c r="G66" t="s">
        <v>169</v>
      </c>
    </row>
    <row r="67" spans="1:7" x14ac:dyDescent="0.3">
      <c r="A67" s="42">
        <v>46204</v>
      </c>
      <c r="B67" s="43">
        <v>0.85781249999999998</v>
      </c>
      <c r="C67" t="s">
        <v>155</v>
      </c>
      <c r="D67" t="s">
        <v>163</v>
      </c>
      <c r="E67" t="s">
        <v>164</v>
      </c>
      <c r="F67">
        <v>10000</v>
      </c>
      <c r="G67" t="s">
        <v>158</v>
      </c>
    </row>
    <row r="68" spans="1:7" x14ac:dyDescent="0.3">
      <c r="A68" s="42">
        <v>46204</v>
      </c>
      <c r="B68" s="43">
        <v>0.85781249999999998</v>
      </c>
      <c r="C68" t="s">
        <v>155</v>
      </c>
      <c r="D68" t="s">
        <v>155</v>
      </c>
      <c r="E68" t="s">
        <v>212</v>
      </c>
      <c r="F68">
        <v>-8000</v>
      </c>
      <c r="G68" t="s">
        <v>158</v>
      </c>
    </row>
    <row r="69" spans="1:7" x14ac:dyDescent="0.3">
      <c r="A69" s="42">
        <v>46204</v>
      </c>
      <c r="B69" s="43">
        <v>0.85781249999999998</v>
      </c>
      <c r="C69" t="s">
        <v>155</v>
      </c>
      <c r="D69" t="s">
        <v>155</v>
      </c>
      <c r="E69" t="s">
        <v>166</v>
      </c>
      <c r="F69">
        <v>-10000</v>
      </c>
      <c r="G69" t="s">
        <v>61</v>
      </c>
    </row>
    <row r="70" spans="1:7" x14ac:dyDescent="0.3">
      <c r="A70" s="42">
        <v>46204</v>
      </c>
      <c r="B70" s="43">
        <v>0.80269675925925921</v>
      </c>
      <c r="C70" t="s">
        <v>155</v>
      </c>
      <c r="D70" t="s">
        <v>213</v>
      </c>
      <c r="E70" t="s">
        <v>214</v>
      </c>
      <c r="F70">
        <v>-54680</v>
      </c>
      <c r="G70" t="s">
        <v>61</v>
      </c>
    </row>
    <row r="71" spans="1:7" x14ac:dyDescent="0.3">
      <c r="A71" s="42">
        <v>46204</v>
      </c>
      <c r="B71" s="43">
        <v>0.72594907407407405</v>
      </c>
      <c r="C71" t="s">
        <v>152</v>
      </c>
      <c r="D71" t="s">
        <v>39</v>
      </c>
      <c r="E71" t="s">
        <v>215</v>
      </c>
      <c r="F71">
        <v>22246</v>
      </c>
      <c r="G71" t="s">
        <v>199</v>
      </c>
    </row>
    <row r="72" spans="1:7" x14ac:dyDescent="0.3">
      <c r="A72" s="42">
        <v>46204</v>
      </c>
      <c r="B72" s="43">
        <v>0.72594907407407405</v>
      </c>
      <c r="C72" t="s">
        <v>152</v>
      </c>
      <c r="D72" t="s">
        <v>39</v>
      </c>
      <c r="E72" t="s">
        <v>215</v>
      </c>
      <c r="F72">
        <v>17654</v>
      </c>
      <c r="G72" t="s">
        <v>182</v>
      </c>
    </row>
    <row r="73" spans="1:7" x14ac:dyDescent="0.3">
      <c r="A73" s="42">
        <v>46204</v>
      </c>
      <c r="B73" s="43">
        <v>0.71769675925925924</v>
      </c>
      <c r="C73" t="s">
        <v>152</v>
      </c>
      <c r="D73" t="s">
        <v>39</v>
      </c>
      <c r="E73" t="s">
        <v>215</v>
      </c>
      <c r="F73">
        <v>-22246</v>
      </c>
      <c r="G73" t="s">
        <v>199</v>
      </c>
    </row>
    <row r="74" spans="1:7" x14ac:dyDescent="0.3">
      <c r="A74" s="42">
        <v>46204</v>
      </c>
      <c r="B74" s="43">
        <v>0.71769675925925924</v>
      </c>
      <c r="C74" t="s">
        <v>152</v>
      </c>
      <c r="D74" t="s">
        <v>39</v>
      </c>
      <c r="E74" t="s">
        <v>215</v>
      </c>
      <c r="F74">
        <v>-17654</v>
      </c>
      <c r="G74" t="s">
        <v>182</v>
      </c>
    </row>
    <row r="75" spans="1:7" x14ac:dyDescent="0.3">
      <c r="A75" s="42">
        <v>46204</v>
      </c>
      <c r="B75" s="43">
        <v>0.61773148148148149</v>
      </c>
      <c r="C75" t="s">
        <v>152</v>
      </c>
      <c r="D75" t="s">
        <v>47</v>
      </c>
      <c r="E75" t="s">
        <v>209</v>
      </c>
      <c r="F75">
        <v>-1500</v>
      </c>
      <c r="G75" t="s">
        <v>154</v>
      </c>
    </row>
    <row r="76" spans="1:7" x14ac:dyDescent="0.3">
      <c r="A76" s="42">
        <v>46204</v>
      </c>
      <c r="B76" s="43">
        <v>0.43884259259259262</v>
      </c>
      <c r="C76" t="s">
        <v>152</v>
      </c>
      <c r="D76" t="s">
        <v>50</v>
      </c>
      <c r="E76" t="s">
        <v>184</v>
      </c>
      <c r="F76">
        <v>-3200</v>
      </c>
      <c r="G76" t="s">
        <v>169</v>
      </c>
    </row>
    <row r="77" spans="1:7" x14ac:dyDescent="0.3">
      <c r="A77" s="42">
        <v>46203</v>
      </c>
      <c r="B77" s="43">
        <v>0.93978009259259254</v>
      </c>
      <c r="C77" t="s">
        <v>152</v>
      </c>
      <c r="D77" t="s">
        <v>37</v>
      </c>
      <c r="E77" t="s">
        <v>216</v>
      </c>
      <c r="F77">
        <v>-776330</v>
      </c>
      <c r="G77" t="s">
        <v>154</v>
      </c>
    </row>
    <row r="78" spans="1:7" x14ac:dyDescent="0.3">
      <c r="A78" s="42">
        <v>46203</v>
      </c>
      <c r="B78" s="43">
        <v>0.93646990740740743</v>
      </c>
      <c r="C78" t="s">
        <v>155</v>
      </c>
      <c r="D78" t="s">
        <v>217</v>
      </c>
      <c r="E78" t="s">
        <v>218</v>
      </c>
      <c r="F78">
        <v>1</v>
      </c>
      <c r="G78" t="s">
        <v>61</v>
      </c>
    </row>
    <row r="79" spans="1:7" x14ac:dyDescent="0.3">
      <c r="A79" s="42">
        <v>46203</v>
      </c>
      <c r="B79" s="43">
        <v>0.63734953703703701</v>
      </c>
      <c r="C79" t="s">
        <v>152</v>
      </c>
      <c r="D79" t="s">
        <v>47</v>
      </c>
      <c r="E79" t="s">
        <v>209</v>
      </c>
      <c r="F79">
        <v>-15000</v>
      </c>
      <c r="G79" t="s">
        <v>154</v>
      </c>
    </row>
    <row r="80" spans="1:7" x14ac:dyDescent="0.3">
      <c r="A80" s="42">
        <v>46203</v>
      </c>
      <c r="B80" s="43">
        <v>0.43358796296296298</v>
      </c>
      <c r="C80" t="s">
        <v>155</v>
      </c>
      <c r="D80" t="s">
        <v>155</v>
      </c>
      <c r="E80" t="s">
        <v>219</v>
      </c>
      <c r="F80">
        <v>-300000</v>
      </c>
      <c r="G80" t="s">
        <v>60</v>
      </c>
    </row>
    <row r="81" spans="1:7" x14ac:dyDescent="0.3">
      <c r="A81" s="42">
        <v>46203</v>
      </c>
      <c r="B81" s="43">
        <v>0.40104166666666669</v>
      </c>
      <c r="C81" t="s">
        <v>152</v>
      </c>
      <c r="D81" t="s">
        <v>50</v>
      </c>
      <c r="E81" t="s">
        <v>184</v>
      </c>
      <c r="F81">
        <v>-1600</v>
      </c>
      <c r="G81" t="s">
        <v>154</v>
      </c>
    </row>
    <row r="82" spans="1:7" x14ac:dyDescent="0.3">
      <c r="A82" s="42">
        <v>46202</v>
      </c>
      <c r="B82" s="43">
        <v>0.98798611111111112</v>
      </c>
      <c r="C82" t="s">
        <v>176</v>
      </c>
      <c r="D82" t="s">
        <v>28</v>
      </c>
      <c r="E82" t="s">
        <v>220</v>
      </c>
      <c r="F82">
        <v>1</v>
      </c>
      <c r="G82" t="s">
        <v>61</v>
      </c>
    </row>
    <row r="83" spans="1:7" x14ac:dyDescent="0.3">
      <c r="A83" s="42">
        <v>46202</v>
      </c>
      <c r="B83" s="43">
        <v>0.87567129629629625</v>
      </c>
      <c r="C83" t="s">
        <v>152</v>
      </c>
      <c r="D83" t="s">
        <v>37</v>
      </c>
      <c r="E83" t="s">
        <v>221</v>
      </c>
      <c r="F83">
        <v>-3390000</v>
      </c>
      <c r="G83" t="s">
        <v>61</v>
      </c>
    </row>
    <row r="84" spans="1:7" x14ac:dyDescent="0.3">
      <c r="A84" s="42">
        <v>46202</v>
      </c>
      <c r="B84" s="43">
        <v>0.78910879629629627</v>
      </c>
      <c r="C84" t="s">
        <v>152</v>
      </c>
      <c r="D84" t="s">
        <v>47</v>
      </c>
      <c r="E84" t="s">
        <v>222</v>
      </c>
      <c r="F84">
        <v>-83000</v>
      </c>
      <c r="G84" t="s">
        <v>154</v>
      </c>
    </row>
    <row r="85" spans="1:7" x14ac:dyDescent="0.3">
      <c r="A85" s="42">
        <v>46202</v>
      </c>
      <c r="B85" s="43">
        <v>0.49255787037037041</v>
      </c>
      <c r="C85" t="s">
        <v>155</v>
      </c>
      <c r="D85" t="s">
        <v>163</v>
      </c>
      <c r="E85" t="s">
        <v>223</v>
      </c>
      <c r="F85">
        <v>385</v>
      </c>
      <c r="G85" t="s">
        <v>68</v>
      </c>
    </row>
    <row r="86" spans="1:7" x14ac:dyDescent="0.3">
      <c r="A86" s="42">
        <v>46202</v>
      </c>
      <c r="B86" s="43">
        <v>0.49255787037037041</v>
      </c>
      <c r="C86" t="s">
        <v>155</v>
      </c>
      <c r="D86" t="s">
        <v>163</v>
      </c>
      <c r="E86" t="s">
        <v>68</v>
      </c>
      <c r="F86">
        <v>-385</v>
      </c>
      <c r="G86" t="s">
        <v>67</v>
      </c>
    </row>
    <row r="87" spans="1:7" x14ac:dyDescent="0.3">
      <c r="A87" s="42">
        <v>46202</v>
      </c>
      <c r="B87" s="43">
        <v>0.44569444444444439</v>
      </c>
      <c r="C87" t="s">
        <v>152</v>
      </c>
      <c r="D87" t="s">
        <v>49</v>
      </c>
      <c r="E87" t="s">
        <v>224</v>
      </c>
      <c r="F87">
        <v>-2000</v>
      </c>
      <c r="G87" t="s">
        <v>154</v>
      </c>
    </row>
    <row r="88" spans="1:7" x14ac:dyDescent="0.3">
      <c r="A88" s="42">
        <v>46202</v>
      </c>
      <c r="B88" s="43">
        <v>0.4110300925925926</v>
      </c>
      <c r="C88" t="s">
        <v>152</v>
      </c>
      <c r="D88" t="s">
        <v>36</v>
      </c>
      <c r="E88" t="s">
        <v>225</v>
      </c>
      <c r="F88">
        <v>-250</v>
      </c>
      <c r="G88" t="s">
        <v>161</v>
      </c>
    </row>
    <row r="89" spans="1:7" x14ac:dyDescent="0.3">
      <c r="A89" s="42">
        <v>46202</v>
      </c>
      <c r="B89" s="43">
        <v>0.4110300925925926</v>
      </c>
      <c r="C89" t="s">
        <v>152</v>
      </c>
      <c r="D89" t="s">
        <v>36</v>
      </c>
      <c r="E89" t="s">
        <v>226</v>
      </c>
      <c r="F89">
        <v>-3150</v>
      </c>
      <c r="G89" t="s">
        <v>161</v>
      </c>
    </row>
    <row r="90" spans="1:7" x14ac:dyDescent="0.3">
      <c r="A90" s="42">
        <v>46202</v>
      </c>
      <c r="B90" s="43">
        <v>0.31789351851851849</v>
      </c>
      <c r="C90" t="s">
        <v>152</v>
      </c>
      <c r="D90" t="s">
        <v>44</v>
      </c>
      <c r="E90" t="s">
        <v>190</v>
      </c>
      <c r="F90">
        <v>-6900</v>
      </c>
      <c r="G90" t="s">
        <v>154</v>
      </c>
    </row>
    <row r="91" spans="1:7" x14ac:dyDescent="0.3">
      <c r="A91" s="42">
        <v>46201</v>
      </c>
      <c r="B91" s="43">
        <v>0.84767361111111106</v>
      </c>
      <c r="C91" t="s">
        <v>152</v>
      </c>
      <c r="D91" t="s">
        <v>49</v>
      </c>
      <c r="E91" t="s">
        <v>227</v>
      </c>
      <c r="F91">
        <v>-2400</v>
      </c>
      <c r="G91" t="s">
        <v>154</v>
      </c>
    </row>
    <row r="92" spans="1:7" x14ac:dyDescent="0.3">
      <c r="A92" s="42">
        <v>46201</v>
      </c>
      <c r="B92" s="43">
        <v>0.80395833333333333</v>
      </c>
      <c r="C92" t="s">
        <v>155</v>
      </c>
      <c r="D92" t="s">
        <v>155</v>
      </c>
      <c r="E92" t="s">
        <v>228</v>
      </c>
      <c r="F92">
        <v>1</v>
      </c>
      <c r="G92" t="s">
        <v>61</v>
      </c>
    </row>
    <row r="93" spans="1:7" x14ac:dyDescent="0.3">
      <c r="A93" s="42">
        <v>46201</v>
      </c>
      <c r="B93" s="43">
        <v>0.66053240740740737</v>
      </c>
      <c r="C93" t="s">
        <v>152</v>
      </c>
      <c r="D93" t="s">
        <v>43</v>
      </c>
      <c r="E93" t="s">
        <v>229</v>
      </c>
      <c r="F93">
        <v>-7500</v>
      </c>
      <c r="G93" t="s">
        <v>154</v>
      </c>
    </row>
    <row r="94" spans="1:7" x14ac:dyDescent="0.3">
      <c r="A94" s="42">
        <v>46201</v>
      </c>
      <c r="B94" s="43">
        <v>0.60291666666666666</v>
      </c>
      <c r="C94" t="s">
        <v>152</v>
      </c>
      <c r="D94" t="s">
        <v>50</v>
      </c>
      <c r="E94" t="s">
        <v>230</v>
      </c>
      <c r="F94">
        <v>-4600</v>
      </c>
      <c r="G94" t="s">
        <v>154</v>
      </c>
    </row>
    <row r="95" spans="1:7" x14ac:dyDescent="0.3">
      <c r="A95" s="42">
        <v>46201</v>
      </c>
      <c r="B95" s="43">
        <v>0.55714120370370368</v>
      </c>
      <c r="C95" t="s">
        <v>152</v>
      </c>
      <c r="D95" t="s">
        <v>50</v>
      </c>
      <c r="E95" t="s">
        <v>231</v>
      </c>
      <c r="F95">
        <v>-28000</v>
      </c>
      <c r="G95" t="s">
        <v>169</v>
      </c>
    </row>
    <row r="96" spans="1:7" x14ac:dyDescent="0.3">
      <c r="A96" s="42">
        <v>46201</v>
      </c>
      <c r="B96" s="43">
        <v>0.43225694444444451</v>
      </c>
      <c r="C96" t="s">
        <v>152</v>
      </c>
      <c r="D96" t="s">
        <v>36</v>
      </c>
      <c r="E96" t="s">
        <v>232</v>
      </c>
      <c r="F96">
        <v>-1550</v>
      </c>
      <c r="G96" t="s">
        <v>161</v>
      </c>
    </row>
    <row r="97" spans="1:7" x14ac:dyDescent="0.3">
      <c r="A97" s="42">
        <v>46201</v>
      </c>
      <c r="B97" s="43">
        <v>0.43225694444444451</v>
      </c>
      <c r="C97" t="s">
        <v>152</v>
      </c>
      <c r="D97" t="s">
        <v>36</v>
      </c>
      <c r="E97" t="s">
        <v>226</v>
      </c>
      <c r="F97">
        <v>-1750</v>
      </c>
      <c r="G97" t="s">
        <v>161</v>
      </c>
    </row>
    <row r="98" spans="1:7" x14ac:dyDescent="0.3">
      <c r="A98" s="42">
        <v>46201</v>
      </c>
      <c r="B98" s="43">
        <v>0.39225694444444442</v>
      </c>
      <c r="C98" t="s">
        <v>155</v>
      </c>
      <c r="D98" t="s">
        <v>156</v>
      </c>
      <c r="E98" t="s">
        <v>233</v>
      </c>
      <c r="F98">
        <v>-50</v>
      </c>
      <c r="G98" t="s">
        <v>64</v>
      </c>
    </row>
    <row r="99" spans="1:7" x14ac:dyDescent="0.3">
      <c r="A99" s="42">
        <v>46201</v>
      </c>
      <c r="B99" s="43">
        <v>0.39225694444444442</v>
      </c>
      <c r="C99" t="s">
        <v>155</v>
      </c>
      <c r="D99" t="s">
        <v>156</v>
      </c>
      <c r="E99" t="s">
        <v>234</v>
      </c>
      <c r="F99">
        <v>412</v>
      </c>
      <c r="G99" t="s">
        <v>64</v>
      </c>
    </row>
    <row r="100" spans="1:7" x14ac:dyDescent="0.3">
      <c r="A100" s="42">
        <v>46200</v>
      </c>
      <c r="B100" s="43">
        <v>0.89082175925925922</v>
      </c>
      <c r="C100" t="s">
        <v>155</v>
      </c>
      <c r="D100" t="s">
        <v>163</v>
      </c>
      <c r="E100" t="s">
        <v>164</v>
      </c>
      <c r="F100">
        <v>10000</v>
      </c>
      <c r="G100" t="s">
        <v>158</v>
      </c>
    </row>
    <row r="101" spans="1:7" x14ac:dyDescent="0.3">
      <c r="A101" s="42">
        <v>46200</v>
      </c>
      <c r="B101" s="43">
        <v>0.89082175925925922</v>
      </c>
      <c r="C101" t="s">
        <v>152</v>
      </c>
      <c r="D101" t="s">
        <v>44</v>
      </c>
      <c r="E101" t="s">
        <v>235</v>
      </c>
      <c r="F101">
        <v>-3900</v>
      </c>
      <c r="G101" t="s">
        <v>236</v>
      </c>
    </row>
    <row r="102" spans="1:7" x14ac:dyDescent="0.3">
      <c r="A102" s="42">
        <v>46200</v>
      </c>
      <c r="B102" s="43">
        <v>0.89082175925925922</v>
      </c>
      <c r="C102" t="s">
        <v>155</v>
      </c>
      <c r="D102" t="s">
        <v>163</v>
      </c>
      <c r="E102" t="s">
        <v>166</v>
      </c>
      <c r="F102">
        <v>-10000</v>
      </c>
      <c r="G102" t="s">
        <v>61</v>
      </c>
    </row>
    <row r="103" spans="1:7" x14ac:dyDescent="0.3">
      <c r="A103" s="42">
        <v>46200</v>
      </c>
      <c r="B103" s="43">
        <v>0.87847222222222221</v>
      </c>
      <c r="C103" t="s">
        <v>176</v>
      </c>
      <c r="D103" t="s">
        <v>30</v>
      </c>
      <c r="E103" t="s">
        <v>237</v>
      </c>
      <c r="F103">
        <v>1</v>
      </c>
      <c r="G103" t="s">
        <v>61</v>
      </c>
    </row>
    <row r="104" spans="1:7" x14ac:dyDescent="0.3">
      <c r="A104" s="42">
        <v>46200</v>
      </c>
      <c r="B104" s="43">
        <v>0.67020833333333329</v>
      </c>
      <c r="C104" t="s">
        <v>155</v>
      </c>
      <c r="D104" t="s">
        <v>155</v>
      </c>
      <c r="E104" t="s">
        <v>238</v>
      </c>
      <c r="F104">
        <v>-30000</v>
      </c>
      <c r="G104" t="s">
        <v>60</v>
      </c>
    </row>
    <row r="105" spans="1:7" x14ac:dyDescent="0.3">
      <c r="A105" s="42">
        <v>46200</v>
      </c>
      <c r="B105" s="43">
        <v>0.4557060185185185</v>
      </c>
      <c r="C105" t="s">
        <v>152</v>
      </c>
      <c r="D105" t="s">
        <v>36</v>
      </c>
      <c r="E105" t="s">
        <v>239</v>
      </c>
      <c r="F105">
        <v>-1000</v>
      </c>
      <c r="G105" t="s">
        <v>236</v>
      </c>
    </row>
    <row r="106" spans="1:7" x14ac:dyDescent="0.3">
      <c r="A106" s="42">
        <v>46200</v>
      </c>
      <c r="B106" s="43">
        <v>0.40989583333333329</v>
      </c>
      <c r="C106" t="s">
        <v>152</v>
      </c>
      <c r="D106" t="s">
        <v>36</v>
      </c>
      <c r="E106" t="s">
        <v>225</v>
      </c>
      <c r="F106">
        <v>-250</v>
      </c>
      <c r="G106" t="s">
        <v>161</v>
      </c>
    </row>
    <row r="107" spans="1:7" x14ac:dyDescent="0.3">
      <c r="A107" s="42">
        <v>46200</v>
      </c>
      <c r="B107" s="43">
        <v>0.40989583333333329</v>
      </c>
      <c r="C107" t="s">
        <v>152</v>
      </c>
      <c r="D107" t="s">
        <v>36</v>
      </c>
      <c r="E107" t="s">
        <v>226</v>
      </c>
      <c r="F107">
        <v>-3150</v>
      </c>
      <c r="G107" t="s">
        <v>161</v>
      </c>
    </row>
    <row r="108" spans="1:7" x14ac:dyDescent="0.3">
      <c r="A108" s="42">
        <v>46200</v>
      </c>
      <c r="B108" s="43">
        <v>0.18358796296296301</v>
      </c>
      <c r="C108" t="s">
        <v>176</v>
      </c>
      <c r="D108" t="s">
        <v>28</v>
      </c>
      <c r="E108" t="s">
        <v>240</v>
      </c>
      <c r="F108">
        <v>385</v>
      </c>
      <c r="G108" t="s">
        <v>67</v>
      </c>
    </row>
    <row r="109" spans="1:7" x14ac:dyDescent="0.3">
      <c r="A109" s="42">
        <v>46200</v>
      </c>
      <c r="B109" s="43">
        <v>0.1754050925925926</v>
      </c>
      <c r="C109" t="s">
        <v>176</v>
      </c>
      <c r="D109" t="s">
        <v>28</v>
      </c>
      <c r="E109" t="s">
        <v>240</v>
      </c>
      <c r="F109">
        <v>484</v>
      </c>
      <c r="G109" t="s">
        <v>67</v>
      </c>
    </row>
    <row r="110" spans="1:7" x14ac:dyDescent="0.3">
      <c r="A110" s="42">
        <v>46200</v>
      </c>
      <c r="B110" s="43">
        <v>0.1476851851851852</v>
      </c>
      <c r="C110" t="s">
        <v>176</v>
      </c>
      <c r="D110" t="s">
        <v>28</v>
      </c>
      <c r="E110" t="s">
        <v>241</v>
      </c>
      <c r="F110">
        <v>0</v>
      </c>
      <c r="G110" t="s">
        <v>63</v>
      </c>
    </row>
    <row r="111" spans="1:7" x14ac:dyDescent="0.3">
      <c r="A111" s="42">
        <v>46200</v>
      </c>
      <c r="B111" s="43">
        <v>8.3020833333333335E-2</v>
      </c>
      <c r="C111" t="s">
        <v>155</v>
      </c>
      <c r="D111" t="s">
        <v>217</v>
      </c>
      <c r="E111" t="s">
        <v>242</v>
      </c>
      <c r="F111">
        <v>134</v>
      </c>
      <c r="G111" t="s">
        <v>68</v>
      </c>
    </row>
    <row r="112" spans="1:7" x14ac:dyDescent="0.3">
      <c r="A112" s="42">
        <v>46199</v>
      </c>
      <c r="B112" s="43">
        <v>0.41120370370370368</v>
      </c>
      <c r="C112" t="s">
        <v>152</v>
      </c>
      <c r="D112" t="s">
        <v>36</v>
      </c>
      <c r="E112" t="s">
        <v>243</v>
      </c>
      <c r="F112">
        <v>-1500</v>
      </c>
      <c r="G112" t="s">
        <v>161</v>
      </c>
    </row>
    <row r="113" spans="1:7" x14ac:dyDescent="0.3">
      <c r="A113" s="42">
        <v>46199</v>
      </c>
      <c r="B113" s="43">
        <v>0.41120370370370368</v>
      </c>
      <c r="C113" t="s">
        <v>152</v>
      </c>
      <c r="D113" t="s">
        <v>36</v>
      </c>
      <c r="E113" t="s">
        <v>244</v>
      </c>
      <c r="F113">
        <v>-1800</v>
      </c>
      <c r="G113" t="s">
        <v>161</v>
      </c>
    </row>
    <row r="114" spans="1:7" x14ac:dyDescent="0.3">
      <c r="A114" s="42">
        <v>46198</v>
      </c>
      <c r="B114" s="43">
        <v>0.84392361111111114</v>
      </c>
      <c r="C114" t="s">
        <v>152</v>
      </c>
      <c r="D114" t="s">
        <v>37</v>
      </c>
      <c r="E114" t="s">
        <v>245</v>
      </c>
      <c r="F114">
        <v>-20000</v>
      </c>
      <c r="G114" t="s">
        <v>61</v>
      </c>
    </row>
    <row r="115" spans="1:7" x14ac:dyDescent="0.3">
      <c r="A115" s="42">
        <v>46198</v>
      </c>
      <c r="B115" s="43">
        <v>0.8090046296296296</v>
      </c>
      <c r="C115" t="s">
        <v>152</v>
      </c>
      <c r="D115" t="s">
        <v>37</v>
      </c>
      <c r="E115" t="s">
        <v>246</v>
      </c>
      <c r="F115">
        <v>-153178</v>
      </c>
      <c r="G115" t="s">
        <v>60</v>
      </c>
    </row>
    <row r="116" spans="1:7" x14ac:dyDescent="0.3">
      <c r="A116" s="42">
        <v>46198</v>
      </c>
      <c r="B116" s="43">
        <v>0.80721064814814814</v>
      </c>
      <c r="C116" t="s">
        <v>152</v>
      </c>
      <c r="D116" t="s">
        <v>40</v>
      </c>
      <c r="E116" t="s">
        <v>247</v>
      </c>
      <c r="F116">
        <v>-258304</v>
      </c>
      <c r="G116" t="s">
        <v>61</v>
      </c>
    </row>
    <row r="117" spans="1:7" x14ac:dyDescent="0.3">
      <c r="A117" s="42">
        <v>46198</v>
      </c>
      <c r="B117" s="43">
        <v>0.65181712962962968</v>
      </c>
      <c r="C117" t="s">
        <v>152</v>
      </c>
      <c r="D117" t="s">
        <v>40</v>
      </c>
      <c r="E117" t="s">
        <v>248</v>
      </c>
      <c r="F117">
        <v>-3900</v>
      </c>
      <c r="G117" t="s">
        <v>180</v>
      </c>
    </row>
    <row r="118" spans="1:7" x14ac:dyDescent="0.3">
      <c r="A118" s="42">
        <v>46198</v>
      </c>
      <c r="B118" s="43">
        <v>0.41107638888888892</v>
      </c>
      <c r="C118" t="s">
        <v>152</v>
      </c>
      <c r="D118" t="s">
        <v>36</v>
      </c>
      <c r="E118" t="s">
        <v>243</v>
      </c>
      <c r="F118">
        <v>-100</v>
      </c>
      <c r="G118" t="s">
        <v>161</v>
      </c>
    </row>
    <row r="119" spans="1:7" x14ac:dyDescent="0.3">
      <c r="A119" s="42">
        <v>46198</v>
      </c>
      <c r="B119" s="43">
        <v>0.41107638888888892</v>
      </c>
      <c r="C119" t="s">
        <v>152</v>
      </c>
      <c r="D119" t="s">
        <v>36</v>
      </c>
      <c r="E119" t="s">
        <v>225</v>
      </c>
      <c r="F119">
        <v>-3200</v>
      </c>
      <c r="G119" t="s">
        <v>161</v>
      </c>
    </row>
    <row r="120" spans="1:7" x14ac:dyDescent="0.3">
      <c r="A120" s="42">
        <v>46198</v>
      </c>
      <c r="B120" s="43">
        <v>0.33031250000000001</v>
      </c>
      <c r="C120" t="s">
        <v>152</v>
      </c>
      <c r="D120" t="s">
        <v>44</v>
      </c>
      <c r="E120" t="s">
        <v>190</v>
      </c>
      <c r="F120">
        <v>-6900</v>
      </c>
      <c r="G120" t="s">
        <v>154</v>
      </c>
    </row>
    <row r="121" spans="1:7" x14ac:dyDescent="0.3">
      <c r="A121" s="42">
        <v>46198</v>
      </c>
      <c r="B121" s="43">
        <v>5.4305555555555558E-2</v>
      </c>
      <c r="C121" t="s">
        <v>176</v>
      </c>
      <c r="D121" t="s">
        <v>29</v>
      </c>
      <c r="E121" t="s">
        <v>249</v>
      </c>
      <c r="F121">
        <v>100000</v>
      </c>
      <c r="G121" t="s">
        <v>64</v>
      </c>
    </row>
    <row r="122" spans="1:7" x14ac:dyDescent="0.3">
      <c r="A122" s="42">
        <v>46197</v>
      </c>
      <c r="B122" s="43">
        <v>0.5047800925925926</v>
      </c>
      <c r="C122" t="s">
        <v>152</v>
      </c>
      <c r="D122" t="s">
        <v>50</v>
      </c>
      <c r="E122" t="s">
        <v>184</v>
      </c>
      <c r="F122">
        <v>-4800</v>
      </c>
      <c r="G122" t="s">
        <v>154</v>
      </c>
    </row>
    <row r="123" spans="1:7" x14ac:dyDescent="0.3">
      <c r="A123" s="42">
        <v>46197</v>
      </c>
      <c r="B123" s="43">
        <v>0.16101851851851851</v>
      </c>
      <c r="C123" t="s">
        <v>152</v>
      </c>
      <c r="D123" t="s">
        <v>36</v>
      </c>
      <c r="E123" t="s">
        <v>250</v>
      </c>
      <c r="F123">
        <v>-46200</v>
      </c>
      <c r="G123" t="s">
        <v>180</v>
      </c>
    </row>
    <row r="124" spans="1:7" x14ac:dyDescent="0.3">
      <c r="A124" s="42">
        <v>46197</v>
      </c>
      <c r="B124" s="43">
        <v>0.16037037037037041</v>
      </c>
      <c r="C124" t="s">
        <v>152</v>
      </c>
      <c r="D124" t="s">
        <v>36</v>
      </c>
      <c r="E124" t="s">
        <v>250</v>
      </c>
      <c r="F124">
        <v>-45900</v>
      </c>
      <c r="G124" t="s">
        <v>180</v>
      </c>
    </row>
    <row r="125" spans="1:7" x14ac:dyDescent="0.3">
      <c r="A125" s="42">
        <v>46197</v>
      </c>
      <c r="B125" s="43">
        <v>4.2372685185185187E-2</v>
      </c>
      <c r="C125" t="s">
        <v>152</v>
      </c>
      <c r="D125" t="s">
        <v>48</v>
      </c>
      <c r="E125" t="s">
        <v>251</v>
      </c>
      <c r="F125">
        <v>-300</v>
      </c>
      <c r="G125" t="s">
        <v>154</v>
      </c>
    </row>
    <row r="126" spans="1:7" x14ac:dyDescent="0.3">
      <c r="A126" s="42">
        <v>46196</v>
      </c>
      <c r="B126" s="43">
        <v>0.92603009259259261</v>
      </c>
      <c r="C126" t="s">
        <v>152</v>
      </c>
      <c r="D126" t="s">
        <v>44</v>
      </c>
      <c r="E126" t="s">
        <v>190</v>
      </c>
      <c r="F126">
        <v>-25560</v>
      </c>
      <c r="G126" t="s">
        <v>154</v>
      </c>
    </row>
    <row r="127" spans="1:7" x14ac:dyDescent="0.3">
      <c r="A127" s="42">
        <v>46196</v>
      </c>
      <c r="B127" s="43">
        <v>0.86628472222222219</v>
      </c>
      <c r="C127" t="s">
        <v>152</v>
      </c>
      <c r="D127" t="s">
        <v>40</v>
      </c>
      <c r="E127" t="s">
        <v>252</v>
      </c>
      <c r="F127">
        <v>-9750</v>
      </c>
      <c r="G127" t="s">
        <v>154</v>
      </c>
    </row>
    <row r="128" spans="1:7" x14ac:dyDescent="0.3">
      <c r="A128" s="42">
        <v>46196</v>
      </c>
      <c r="B128" s="43">
        <v>0.83956018518518516</v>
      </c>
      <c r="C128" t="s">
        <v>152</v>
      </c>
      <c r="D128" t="s">
        <v>48</v>
      </c>
      <c r="E128" t="s">
        <v>253</v>
      </c>
      <c r="F128">
        <v>-1000</v>
      </c>
      <c r="G128" t="s">
        <v>154</v>
      </c>
    </row>
    <row r="129" spans="1:7" x14ac:dyDescent="0.3">
      <c r="A129" s="42">
        <v>46196</v>
      </c>
      <c r="B129" s="43">
        <v>0.82797453703703705</v>
      </c>
      <c r="C129" t="s">
        <v>152</v>
      </c>
      <c r="D129" t="s">
        <v>37</v>
      </c>
      <c r="E129" t="s">
        <v>254</v>
      </c>
      <c r="F129">
        <v>-16900</v>
      </c>
      <c r="G129" t="s">
        <v>60</v>
      </c>
    </row>
    <row r="130" spans="1:7" x14ac:dyDescent="0.3">
      <c r="A130" s="42">
        <v>46196</v>
      </c>
      <c r="B130" s="43">
        <v>0.81756944444444446</v>
      </c>
      <c r="C130" t="s">
        <v>152</v>
      </c>
      <c r="D130" t="s">
        <v>37</v>
      </c>
      <c r="E130" t="s">
        <v>255</v>
      </c>
      <c r="F130">
        <v>-14261</v>
      </c>
      <c r="G130" t="s">
        <v>61</v>
      </c>
    </row>
    <row r="131" spans="1:7" x14ac:dyDescent="0.3">
      <c r="A131" s="42">
        <v>46196</v>
      </c>
      <c r="B131" s="43">
        <v>0.7596180555555555</v>
      </c>
      <c r="C131" t="s">
        <v>152</v>
      </c>
      <c r="D131" t="s">
        <v>37</v>
      </c>
      <c r="E131" t="s">
        <v>256</v>
      </c>
      <c r="F131">
        <v>-135650</v>
      </c>
      <c r="G131" t="s">
        <v>67</v>
      </c>
    </row>
    <row r="132" spans="1:7" x14ac:dyDescent="0.3">
      <c r="A132" s="42">
        <v>46196</v>
      </c>
      <c r="B132" s="43">
        <v>0.34043981481481478</v>
      </c>
      <c r="C132" t="s">
        <v>152</v>
      </c>
      <c r="D132" t="s">
        <v>40</v>
      </c>
      <c r="E132" t="s">
        <v>257</v>
      </c>
      <c r="F132">
        <v>-6000</v>
      </c>
      <c r="G132" t="s">
        <v>174</v>
      </c>
    </row>
    <row r="133" spans="1:7" x14ac:dyDescent="0.3">
      <c r="A133" s="42">
        <v>46196</v>
      </c>
      <c r="B133" s="43">
        <v>0.16836805555555559</v>
      </c>
      <c r="C133" t="s">
        <v>152</v>
      </c>
      <c r="D133" t="s">
        <v>37</v>
      </c>
      <c r="E133" t="s">
        <v>258</v>
      </c>
      <c r="F133">
        <v>-268273</v>
      </c>
      <c r="G133" t="s">
        <v>64</v>
      </c>
    </row>
    <row r="134" spans="1:7" x14ac:dyDescent="0.3">
      <c r="A134" s="42">
        <v>46196</v>
      </c>
      <c r="B134" s="43">
        <v>0</v>
      </c>
      <c r="C134" t="s">
        <v>152</v>
      </c>
      <c r="D134" t="s">
        <v>44</v>
      </c>
      <c r="E134" t="s">
        <v>259</v>
      </c>
      <c r="F134">
        <v>1576754</v>
      </c>
      <c r="G134" t="s">
        <v>169</v>
      </c>
    </row>
    <row r="135" spans="1:7" x14ac:dyDescent="0.3">
      <c r="A135" s="42">
        <v>46195</v>
      </c>
      <c r="B135" s="43">
        <v>0.24592592592592591</v>
      </c>
      <c r="C135" t="s">
        <v>152</v>
      </c>
      <c r="D135" t="s">
        <v>40</v>
      </c>
      <c r="E135" t="s">
        <v>260</v>
      </c>
      <c r="F135">
        <v>-76410</v>
      </c>
      <c r="G135" t="s">
        <v>199</v>
      </c>
    </row>
    <row r="136" spans="1:7" x14ac:dyDescent="0.3">
      <c r="A136" s="42">
        <v>46195</v>
      </c>
      <c r="B136" s="43">
        <v>0.24592592592592591</v>
      </c>
      <c r="C136" t="s">
        <v>152</v>
      </c>
      <c r="D136" t="s">
        <v>40</v>
      </c>
      <c r="E136" t="s">
        <v>260</v>
      </c>
      <c r="F136">
        <v>-1441640</v>
      </c>
      <c r="G136" t="s">
        <v>182</v>
      </c>
    </row>
    <row r="137" spans="1:7" x14ac:dyDescent="0.3">
      <c r="A137" s="42">
        <v>46195</v>
      </c>
      <c r="B137" s="43">
        <v>0.2398726851851852</v>
      </c>
      <c r="C137" t="s">
        <v>152</v>
      </c>
      <c r="D137" t="s">
        <v>40</v>
      </c>
      <c r="E137" t="s">
        <v>260</v>
      </c>
      <c r="F137">
        <v>1576754</v>
      </c>
      <c r="G137" t="s">
        <v>182</v>
      </c>
    </row>
    <row r="138" spans="1:7" x14ac:dyDescent="0.3">
      <c r="A138" s="42">
        <v>46195</v>
      </c>
      <c r="B138" s="43">
        <v>0.2398726851851852</v>
      </c>
      <c r="C138" t="s">
        <v>152</v>
      </c>
      <c r="D138" t="s">
        <v>40</v>
      </c>
      <c r="E138" t="s">
        <v>260</v>
      </c>
      <c r="F138">
        <v>22246</v>
      </c>
      <c r="G138" t="s">
        <v>199</v>
      </c>
    </row>
    <row r="139" spans="1:7" x14ac:dyDescent="0.3">
      <c r="A139" s="42">
        <v>46194</v>
      </c>
      <c r="B139" s="43">
        <v>0.93590277777777775</v>
      </c>
      <c r="C139" t="s">
        <v>152</v>
      </c>
      <c r="D139" t="s">
        <v>40</v>
      </c>
      <c r="E139" t="s">
        <v>260</v>
      </c>
      <c r="F139">
        <v>-22246</v>
      </c>
      <c r="G139" t="s">
        <v>199</v>
      </c>
    </row>
    <row r="140" spans="1:7" x14ac:dyDescent="0.3">
      <c r="A140" s="42">
        <v>46194</v>
      </c>
      <c r="B140" s="43">
        <v>0.93590277777777775</v>
      </c>
      <c r="C140" t="s">
        <v>152</v>
      </c>
      <c r="D140" t="s">
        <v>40</v>
      </c>
      <c r="E140" t="s">
        <v>260</v>
      </c>
      <c r="F140">
        <v>-1576754</v>
      </c>
      <c r="G140" t="s">
        <v>182</v>
      </c>
    </row>
    <row r="141" spans="1:7" x14ac:dyDescent="0.3">
      <c r="A141" s="42">
        <v>46194</v>
      </c>
      <c r="B141" s="43">
        <v>0.93395833333333333</v>
      </c>
      <c r="C141" t="s">
        <v>152</v>
      </c>
      <c r="D141" t="s">
        <v>40</v>
      </c>
      <c r="E141" t="s">
        <v>260</v>
      </c>
      <c r="F141">
        <v>30163</v>
      </c>
      <c r="G141" t="s">
        <v>199</v>
      </c>
    </row>
    <row r="142" spans="1:7" x14ac:dyDescent="0.3">
      <c r="A142" s="42">
        <v>46194</v>
      </c>
      <c r="B142" s="43">
        <v>0.93395833333333333</v>
      </c>
      <c r="C142" t="s">
        <v>152</v>
      </c>
      <c r="D142" t="s">
        <v>37</v>
      </c>
      <c r="E142" t="s">
        <v>261</v>
      </c>
      <c r="F142">
        <v>1568837</v>
      </c>
      <c r="G142" t="s">
        <v>169</v>
      </c>
    </row>
    <row r="143" spans="1:7" x14ac:dyDescent="0.3">
      <c r="A143" s="42">
        <v>46194</v>
      </c>
      <c r="B143" s="43">
        <v>0.93356481481481479</v>
      </c>
      <c r="C143" t="s">
        <v>152</v>
      </c>
      <c r="D143" t="s">
        <v>37</v>
      </c>
      <c r="E143" t="s">
        <v>261</v>
      </c>
      <c r="F143">
        <v>-1568837</v>
      </c>
      <c r="G143" t="s">
        <v>169</v>
      </c>
    </row>
    <row r="144" spans="1:7" x14ac:dyDescent="0.3">
      <c r="A144" s="42">
        <v>46194</v>
      </c>
      <c r="B144" s="43">
        <v>0.93337962962962961</v>
      </c>
      <c r="C144" t="s">
        <v>152</v>
      </c>
      <c r="D144" t="s">
        <v>40</v>
      </c>
      <c r="E144" t="s">
        <v>260</v>
      </c>
      <c r="F144">
        <v>-30163</v>
      </c>
      <c r="G144" t="s">
        <v>199</v>
      </c>
    </row>
    <row r="145" spans="1:7" x14ac:dyDescent="0.3">
      <c r="A145" s="42">
        <v>46194</v>
      </c>
      <c r="B145" s="43">
        <v>0.6335763888888889</v>
      </c>
      <c r="C145" t="s">
        <v>152</v>
      </c>
      <c r="D145" t="s">
        <v>40</v>
      </c>
      <c r="E145" t="s">
        <v>171</v>
      </c>
      <c r="F145">
        <v>1840500</v>
      </c>
      <c r="G145" t="s">
        <v>154</v>
      </c>
    </row>
    <row r="146" spans="1:7" x14ac:dyDescent="0.3">
      <c r="A146" s="42">
        <v>46194</v>
      </c>
      <c r="B146" s="43">
        <v>0.58291666666666664</v>
      </c>
      <c r="C146" t="s">
        <v>152</v>
      </c>
      <c r="D146" t="s">
        <v>40</v>
      </c>
      <c r="E146" t="s">
        <v>262</v>
      </c>
      <c r="F146">
        <v>-7000</v>
      </c>
      <c r="G146" t="s">
        <v>186</v>
      </c>
    </row>
    <row r="147" spans="1:7" x14ac:dyDescent="0.3">
      <c r="A147" s="42">
        <v>46194</v>
      </c>
      <c r="B147" s="43">
        <v>0.55053240740740739</v>
      </c>
      <c r="C147" t="s">
        <v>152</v>
      </c>
      <c r="D147" t="s">
        <v>49</v>
      </c>
      <c r="E147" t="s">
        <v>263</v>
      </c>
      <c r="F147">
        <v>-3500</v>
      </c>
      <c r="G147" t="s">
        <v>186</v>
      </c>
    </row>
    <row r="148" spans="1:7" x14ac:dyDescent="0.3">
      <c r="A148" s="42">
        <v>46194</v>
      </c>
      <c r="B148" s="43">
        <v>0.50131944444444443</v>
      </c>
      <c r="C148" t="s">
        <v>152</v>
      </c>
      <c r="D148" t="s">
        <v>42</v>
      </c>
      <c r="E148" t="s">
        <v>264</v>
      </c>
      <c r="F148">
        <v>-13000</v>
      </c>
      <c r="G148" t="s">
        <v>186</v>
      </c>
    </row>
    <row r="149" spans="1:7" x14ac:dyDescent="0.3">
      <c r="A149" s="42">
        <v>46194</v>
      </c>
      <c r="B149" s="43">
        <v>0.45821759259259259</v>
      </c>
      <c r="C149" t="s">
        <v>152</v>
      </c>
      <c r="D149" t="s">
        <v>44</v>
      </c>
      <c r="E149" t="s">
        <v>265</v>
      </c>
      <c r="F149">
        <v>-7890</v>
      </c>
      <c r="G149" t="s">
        <v>266</v>
      </c>
    </row>
    <row r="150" spans="1:7" x14ac:dyDescent="0.3">
      <c r="A150" s="42">
        <v>46194</v>
      </c>
      <c r="B150" s="43">
        <v>0.42881944444444442</v>
      </c>
      <c r="C150" t="s">
        <v>152</v>
      </c>
      <c r="D150" t="s">
        <v>36</v>
      </c>
      <c r="E150" t="s">
        <v>244</v>
      </c>
      <c r="F150">
        <v>-3400</v>
      </c>
      <c r="G150" t="s">
        <v>161</v>
      </c>
    </row>
    <row r="151" spans="1:7" x14ac:dyDescent="0.3">
      <c r="A151" s="42">
        <v>46194</v>
      </c>
      <c r="B151" s="43">
        <v>0</v>
      </c>
      <c r="C151" t="s">
        <v>152</v>
      </c>
      <c r="D151" t="s">
        <v>40</v>
      </c>
      <c r="E151" t="s">
        <v>171</v>
      </c>
      <c r="F151">
        <v>1840500</v>
      </c>
      <c r="G151" t="s">
        <v>154</v>
      </c>
    </row>
    <row r="152" spans="1:7" x14ac:dyDescent="0.3">
      <c r="A152" s="42">
        <v>46193</v>
      </c>
      <c r="B152" s="43">
        <v>0.74633101851851846</v>
      </c>
      <c r="C152" t="s">
        <v>155</v>
      </c>
      <c r="D152" t="s">
        <v>163</v>
      </c>
      <c r="E152" t="s">
        <v>164</v>
      </c>
      <c r="F152">
        <v>10000</v>
      </c>
      <c r="G152" t="s">
        <v>158</v>
      </c>
    </row>
    <row r="153" spans="1:7" x14ac:dyDescent="0.3">
      <c r="A153" s="42">
        <v>46193</v>
      </c>
      <c r="B153" s="43">
        <v>0.74633101851851846</v>
      </c>
      <c r="C153" t="s">
        <v>155</v>
      </c>
      <c r="D153" t="s">
        <v>155</v>
      </c>
      <c r="E153" t="s">
        <v>212</v>
      </c>
      <c r="F153">
        <v>-8000</v>
      </c>
      <c r="G153" t="s">
        <v>158</v>
      </c>
    </row>
    <row r="154" spans="1:7" x14ac:dyDescent="0.3">
      <c r="A154" s="42">
        <v>46193</v>
      </c>
      <c r="B154" s="43">
        <v>0.74633101851851846</v>
      </c>
      <c r="C154" t="s">
        <v>155</v>
      </c>
      <c r="D154" t="s">
        <v>163</v>
      </c>
      <c r="E154" t="s">
        <v>166</v>
      </c>
      <c r="F154">
        <v>-10000</v>
      </c>
      <c r="G154" t="s">
        <v>61</v>
      </c>
    </row>
    <row r="155" spans="1:7" x14ac:dyDescent="0.3">
      <c r="A155" s="42">
        <v>46193</v>
      </c>
      <c r="B155" s="43">
        <v>0.74281249999999999</v>
      </c>
      <c r="C155" t="s">
        <v>152</v>
      </c>
      <c r="D155" t="s">
        <v>40</v>
      </c>
      <c r="E155" t="s">
        <v>267</v>
      </c>
      <c r="F155">
        <v>-22380</v>
      </c>
      <c r="G155" t="s">
        <v>186</v>
      </c>
    </row>
    <row r="156" spans="1:7" x14ac:dyDescent="0.3">
      <c r="A156" s="42">
        <v>46193</v>
      </c>
      <c r="B156" s="43">
        <v>0.6787037037037037</v>
      </c>
      <c r="C156" t="s">
        <v>155</v>
      </c>
      <c r="D156" t="s">
        <v>217</v>
      </c>
      <c r="E156" t="s">
        <v>268</v>
      </c>
      <c r="F156">
        <v>1500000</v>
      </c>
      <c r="G156" t="s">
        <v>67</v>
      </c>
    </row>
    <row r="157" spans="1:7" x14ac:dyDescent="0.3">
      <c r="A157" s="42">
        <v>46193</v>
      </c>
      <c r="B157" s="43">
        <v>0.58901620370370367</v>
      </c>
      <c r="C157" t="s">
        <v>152</v>
      </c>
      <c r="D157" t="s">
        <v>47</v>
      </c>
      <c r="E157" t="s">
        <v>269</v>
      </c>
      <c r="F157">
        <v>-60000</v>
      </c>
      <c r="G157" t="s">
        <v>186</v>
      </c>
    </row>
    <row r="158" spans="1:7" x14ac:dyDescent="0.3">
      <c r="A158" s="42">
        <v>46193</v>
      </c>
      <c r="B158" s="43">
        <v>0.56381944444444443</v>
      </c>
      <c r="C158" t="s">
        <v>152</v>
      </c>
      <c r="D158" t="s">
        <v>40</v>
      </c>
      <c r="E158" t="s">
        <v>171</v>
      </c>
      <c r="F158">
        <v>-52680</v>
      </c>
      <c r="G158" t="s">
        <v>180</v>
      </c>
    </row>
    <row r="159" spans="1:7" x14ac:dyDescent="0.3">
      <c r="A159" s="42">
        <v>46193</v>
      </c>
      <c r="B159" s="43">
        <v>0.54498842592592589</v>
      </c>
      <c r="C159" t="s">
        <v>152</v>
      </c>
      <c r="D159" t="s">
        <v>40</v>
      </c>
      <c r="E159" t="s">
        <v>171</v>
      </c>
      <c r="F159">
        <v>-1840500</v>
      </c>
      <c r="G159" t="s">
        <v>154</v>
      </c>
    </row>
    <row r="160" spans="1:7" x14ac:dyDescent="0.3">
      <c r="A160" s="42">
        <v>46193</v>
      </c>
      <c r="B160" s="43">
        <v>0.522974537037037</v>
      </c>
      <c r="C160" t="s">
        <v>152</v>
      </c>
      <c r="D160" t="s">
        <v>40</v>
      </c>
      <c r="E160" t="s">
        <v>270</v>
      </c>
      <c r="F160">
        <v>-5130</v>
      </c>
      <c r="G160" t="s">
        <v>186</v>
      </c>
    </row>
    <row r="161" spans="1:7" x14ac:dyDescent="0.3">
      <c r="A161" s="42">
        <v>46193</v>
      </c>
      <c r="B161" s="43">
        <v>0.48684027777777777</v>
      </c>
      <c r="C161" t="s">
        <v>152</v>
      </c>
      <c r="D161" t="s">
        <v>47</v>
      </c>
      <c r="E161" t="s">
        <v>271</v>
      </c>
      <c r="F161">
        <v>-500</v>
      </c>
      <c r="G161" t="s">
        <v>186</v>
      </c>
    </row>
    <row r="162" spans="1:7" x14ac:dyDescent="0.3">
      <c r="A162" s="42">
        <v>46193</v>
      </c>
      <c r="B162" s="43">
        <v>0.45725694444444442</v>
      </c>
      <c r="C162" t="s">
        <v>152</v>
      </c>
      <c r="D162" t="s">
        <v>39</v>
      </c>
      <c r="E162" t="s">
        <v>272</v>
      </c>
      <c r="F162">
        <v>-22000</v>
      </c>
      <c r="G162" t="s">
        <v>186</v>
      </c>
    </row>
    <row r="163" spans="1:7" x14ac:dyDescent="0.3">
      <c r="A163" s="42">
        <v>46193</v>
      </c>
      <c r="B163" s="43">
        <v>0.42261574074074082</v>
      </c>
      <c r="C163" t="s">
        <v>155</v>
      </c>
      <c r="D163" t="s">
        <v>217</v>
      </c>
      <c r="E163" t="s">
        <v>273</v>
      </c>
      <c r="F163">
        <v>0</v>
      </c>
      <c r="G163" t="s">
        <v>66</v>
      </c>
    </row>
    <row r="164" spans="1:7" x14ac:dyDescent="0.3">
      <c r="A164" s="42">
        <v>46193</v>
      </c>
      <c r="B164" s="43">
        <v>0.41795138888888889</v>
      </c>
      <c r="C164" t="s">
        <v>152</v>
      </c>
      <c r="D164" t="s">
        <v>36</v>
      </c>
      <c r="E164" t="s">
        <v>274</v>
      </c>
      <c r="F164">
        <v>-1750</v>
      </c>
      <c r="G164" t="s">
        <v>161</v>
      </c>
    </row>
    <row r="165" spans="1:7" x14ac:dyDescent="0.3">
      <c r="A165" s="42">
        <v>46193</v>
      </c>
      <c r="B165" s="43">
        <v>0.32939814814814822</v>
      </c>
      <c r="C165" t="s">
        <v>155</v>
      </c>
      <c r="D165" t="s">
        <v>163</v>
      </c>
      <c r="E165" t="s">
        <v>275</v>
      </c>
      <c r="F165">
        <v>100000</v>
      </c>
      <c r="G165" t="s">
        <v>73</v>
      </c>
    </row>
    <row r="166" spans="1:7" x14ac:dyDescent="0.3">
      <c r="A166" s="42">
        <v>46193</v>
      </c>
      <c r="B166" s="43">
        <v>0.32939814814814822</v>
      </c>
      <c r="C166" t="s">
        <v>155</v>
      </c>
      <c r="D166" t="s">
        <v>163</v>
      </c>
      <c r="E166" t="s">
        <v>276</v>
      </c>
      <c r="F166">
        <v>-100000</v>
      </c>
      <c r="G166" t="s">
        <v>64</v>
      </c>
    </row>
    <row r="167" spans="1:7" x14ac:dyDescent="0.3">
      <c r="A167" s="42">
        <v>46193</v>
      </c>
      <c r="B167" s="43">
        <v>0.32612268518518522</v>
      </c>
      <c r="C167" t="s">
        <v>155</v>
      </c>
      <c r="D167" t="s">
        <v>163</v>
      </c>
      <c r="E167" t="s">
        <v>7</v>
      </c>
      <c r="F167">
        <v>3000000</v>
      </c>
      <c r="G167" t="s">
        <v>64</v>
      </c>
    </row>
    <row r="168" spans="1:7" x14ac:dyDescent="0.3">
      <c r="A168" s="42">
        <v>46193</v>
      </c>
      <c r="B168" s="43">
        <v>0.32611111111111107</v>
      </c>
      <c r="C168" t="s">
        <v>155</v>
      </c>
      <c r="D168" t="s">
        <v>163</v>
      </c>
      <c r="E168" t="s">
        <v>7</v>
      </c>
      <c r="F168">
        <v>-3000000</v>
      </c>
      <c r="G168" t="s">
        <v>60</v>
      </c>
    </row>
    <row r="169" spans="1:7" x14ac:dyDescent="0.3">
      <c r="A169" s="42">
        <v>46192</v>
      </c>
      <c r="B169" s="43">
        <v>0.71255787037037033</v>
      </c>
      <c r="C169" t="s">
        <v>155</v>
      </c>
      <c r="D169" t="s">
        <v>155</v>
      </c>
      <c r="E169" t="s">
        <v>277</v>
      </c>
      <c r="F169">
        <v>3000000</v>
      </c>
      <c r="G169" t="s">
        <v>67</v>
      </c>
    </row>
    <row r="170" spans="1:7" x14ac:dyDescent="0.3">
      <c r="A170" s="42">
        <v>46192</v>
      </c>
      <c r="B170" s="43">
        <v>0.57098379629629625</v>
      </c>
      <c r="C170" t="s">
        <v>155</v>
      </c>
      <c r="D170" t="s">
        <v>155</v>
      </c>
      <c r="E170" t="s">
        <v>278</v>
      </c>
      <c r="F170">
        <v>-3357534</v>
      </c>
      <c r="G170" t="s">
        <v>67</v>
      </c>
    </row>
    <row r="171" spans="1:7" x14ac:dyDescent="0.3">
      <c r="A171" s="42">
        <v>46192</v>
      </c>
      <c r="B171" s="43">
        <v>0.56827546296296294</v>
      </c>
      <c r="C171" t="s">
        <v>152</v>
      </c>
      <c r="D171" t="s">
        <v>37</v>
      </c>
      <c r="E171" t="s">
        <v>279</v>
      </c>
      <c r="F171">
        <v>-2900000</v>
      </c>
      <c r="G171" t="s">
        <v>61</v>
      </c>
    </row>
    <row r="172" spans="1:7" x14ac:dyDescent="0.3">
      <c r="A172" s="42">
        <v>46192</v>
      </c>
      <c r="B172" s="43">
        <v>0.56768518518518518</v>
      </c>
      <c r="C172" t="s">
        <v>152</v>
      </c>
      <c r="D172" t="s">
        <v>37</v>
      </c>
      <c r="E172" t="s">
        <v>280</v>
      </c>
      <c r="F172">
        <v>-1666666</v>
      </c>
      <c r="G172" t="s">
        <v>174</v>
      </c>
    </row>
    <row r="173" spans="1:7" x14ac:dyDescent="0.3">
      <c r="A173" s="42">
        <v>46192</v>
      </c>
      <c r="B173" s="43">
        <v>0.56700231481481478</v>
      </c>
      <c r="C173" t="s">
        <v>152</v>
      </c>
      <c r="D173" t="s">
        <v>37</v>
      </c>
      <c r="E173" t="s">
        <v>280</v>
      </c>
      <c r="F173">
        <v>-5000000</v>
      </c>
      <c r="G173" t="s">
        <v>174</v>
      </c>
    </row>
    <row r="174" spans="1:7" x14ac:dyDescent="0.3">
      <c r="A174" s="42">
        <v>46192</v>
      </c>
      <c r="B174" s="43">
        <v>0.52274305555555556</v>
      </c>
      <c r="C174" t="s">
        <v>155</v>
      </c>
      <c r="D174" t="s">
        <v>155</v>
      </c>
      <c r="E174" t="s">
        <v>281</v>
      </c>
      <c r="F174">
        <v>-390000</v>
      </c>
      <c r="G174" t="s">
        <v>61</v>
      </c>
    </row>
    <row r="175" spans="1:7" x14ac:dyDescent="0.3">
      <c r="A175" s="42">
        <v>46192</v>
      </c>
      <c r="B175" s="43">
        <v>0.52214120370370365</v>
      </c>
      <c r="C175" t="s">
        <v>155</v>
      </c>
      <c r="D175" t="s">
        <v>155</v>
      </c>
      <c r="E175" t="s">
        <v>281</v>
      </c>
      <c r="F175">
        <v>-520000000</v>
      </c>
      <c r="G175" t="s">
        <v>61</v>
      </c>
    </row>
    <row r="176" spans="1:7" x14ac:dyDescent="0.3">
      <c r="A176" s="42">
        <v>46192</v>
      </c>
      <c r="B176" s="43">
        <v>0.52113425925925927</v>
      </c>
      <c r="C176" t="s">
        <v>155</v>
      </c>
      <c r="D176" t="s">
        <v>155</v>
      </c>
      <c r="E176" t="s">
        <v>282</v>
      </c>
      <c r="F176">
        <v>446120</v>
      </c>
      <c r="G176" t="s">
        <v>61</v>
      </c>
    </row>
    <row r="177" spans="1:7" x14ac:dyDescent="0.3">
      <c r="A177" s="42">
        <v>46192</v>
      </c>
      <c r="B177" s="43">
        <v>0.49615740740740738</v>
      </c>
      <c r="C177" t="s">
        <v>176</v>
      </c>
      <c r="D177" t="s">
        <v>29</v>
      </c>
      <c r="E177" t="s">
        <v>283</v>
      </c>
      <c r="F177">
        <v>86000000</v>
      </c>
      <c r="G177" t="s">
        <v>61</v>
      </c>
    </row>
    <row r="178" spans="1:7" x14ac:dyDescent="0.3">
      <c r="A178" s="42">
        <v>46192</v>
      </c>
      <c r="B178" s="43">
        <v>0.4956712962962963</v>
      </c>
      <c r="C178" t="s">
        <v>176</v>
      </c>
      <c r="D178" t="s">
        <v>29</v>
      </c>
      <c r="E178" t="s">
        <v>283</v>
      </c>
      <c r="F178">
        <v>100000000</v>
      </c>
      <c r="G178" t="s">
        <v>61</v>
      </c>
    </row>
    <row r="179" spans="1:7" x14ac:dyDescent="0.3">
      <c r="A179" s="42">
        <v>46192</v>
      </c>
      <c r="B179" s="43">
        <v>0.4952199074074074</v>
      </c>
      <c r="C179" t="s">
        <v>176</v>
      </c>
      <c r="D179" t="s">
        <v>29</v>
      </c>
      <c r="E179" t="s">
        <v>283</v>
      </c>
      <c r="F179">
        <v>100000000</v>
      </c>
      <c r="G179" t="s">
        <v>61</v>
      </c>
    </row>
    <row r="180" spans="1:7" x14ac:dyDescent="0.3">
      <c r="A180" s="42">
        <v>46192</v>
      </c>
      <c r="B180" s="43">
        <v>0.49473379629629632</v>
      </c>
      <c r="C180" t="s">
        <v>176</v>
      </c>
      <c r="D180" t="s">
        <v>29</v>
      </c>
      <c r="E180" t="s">
        <v>284</v>
      </c>
      <c r="F180">
        <v>100000000</v>
      </c>
      <c r="G180" t="s">
        <v>61</v>
      </c>
    </row>
    <row r="181" spans="1:7" x14ac:dyDescent="0.3">
      <c r="A181" s="42">
        <v>46192</v>
      </c>
      <c r="B181" s="43">
        <v>0.49427083333333333</v>
      </c>
      <c r="C181" t="s">
        <v>176</v>
      </c>
      <c r="D181" t="s">
        <v>29</v>
      </c>
      <c r="E181" t="s">
        <v>283</v>
      </c>
      <c r="F181">
        <v>100000000</v>
      </c>
      <c r="G181" t="s">
        <v>61</v>
      </c>
    </row>
    <row r="182" spans="1:7" x14ac:dyDescent="0.3">
      <c r="A182" s="42">
        <v>46192</v>
      </c>
      <c r="B182" s="43">
        <v>0.48526620370370371</v>
      </c>
      <c r="C182" t="s">
        <v>176</v>
      </c>
      <c r="D182" t="s">
        <v>29</v>
      </c>
      <c r="E182" t="s">
        <v>285</v>
      </c>
      <c r="F182">
        <v>469710</v>
      </c>
      <c r="G182" t="s">
        <v>61</v>
      </c>
    </row>
    <row r="183" spans="1:7" x14ac:dyDescent="0.3">
      <c r="A183" s="42">
        <v>46192</v>
      </c>
      <c r="B183" s="43">
        <v>0.39400462962962962</v>
      </c>
      <c r="C183" t="s">
        <v>152</v>
      </c>
      <c r="D183" t="s">
        <v>37</v>
      </c>
      <c r="E183" t="s">
        <v>286</v>
      </c>
      <c r="F183">
        <v>-75000</v>
      </c>
      <c r="G183" t="s">
        <v>64</v>
      </c>
    </row>
    <row r="184" spans="1:7" x14ac:dyDescent="0.3">
      <c r="A184" s="42">
        <v>46192</v>
      </c>
      <c r="B184" s="43">
        <v>0.38318287037037041</v>
      </c>
      <c r="C184" t="s">
        <v>152</v>
      </c>
      <c r="D184" t="s">
        <v>37</v>
      </c>
      <c r="E184" t="s">
        <v>287</v>
      </c>
      <c r="F184">
        <v>-992630</v>
      </c>
      <c r="G184" t="s">
        <v>64</v>
      </c>
    </row>
    <row r="185" spans="1:7" x14ac:dyDescent="0.3">
      <c r="A185" s="42">
        <v>46192</v>
      </c>
      <c r="B185" s="43">
        <v>0.3555902777777778</v>
      </c>
      <c r="C185" t="s">
        <v>152</v>
      </c>
      <c r="D185" t="s">
        <v>49</v>
      </c>
      <c r="E185" t="s">
        <v>288</v>
      </c>
      <c r="F185">
        <v>-7420</v>
      </c>
      <c r="G185" t="s">
        <v>154</v>
      </c>
    </row>
    <row r="186" spans="1:7" x14ac:dyDescent="0.3">
      <c r="A186" s="42">
        <v>46192</v>
      </c>
      <c r="B186" s="43">
        <v>0.33406249999999998</v>
      </c>
      <c r="C186" t="s">
        <v>176</v>
      </c>
      <c r="D186" t="s">
        <v>29</v>
      </c>
      <c r="E186" t="s">
        <v>29</v>
      </c>
      <c r="F186">
        <v>5216630</v>
      </c>
      <c r="G186" t="s">
        <v>60</v>
      </c>
    </row>
    <row r="187" spans="1:7" x14ac:dyDescent="0.3">
      <c r="A187" s="42">
        <v>46191</v>
      </c>
      <c r="B187" s="43">
        <v>0.88143518518518515</v>
      </c>
      <c r="C187" t="s">
        <v>152</v>
      </c>
      <c r="D187" t="s">
        <v>40</v>
      </c>
      <c r="E187" t="s">
        <v>289</v>
      </c>
      <c r="F187">
        <v>-14400</v>
      </c>
      <c r="G187" t="s">
        <v>186</v>
      </c>
    </row>
    <row r="188" spans="1:7" x14ac:dyDescent="0.3">
      <c r="A188" s="42">
        <v>46191</v>
      </c>
      <c r="B188" s="43">
        <v>0.80018518518518522</v>
      </c>
      <c r="C188" t="s">
        <v>152</v>
      </c>
      <c r="D188" t="s">
        <v>42</v>
      </c>
      <c r="E188" t="s">
        <v>290</v>
      </c>
      <c r="F188">
        <v>-13900</v>
      </c>
      <c r="G188" t="s">
        <v>186</v>
      </c>
    </row>
    <row r="189" spans="1:7" x14ac:dyDescent="0.3">
      <c r="A189" s="42">
        <v>46191</v>
      </c>
      <c r="B189" s="43">
        <v>0.54128472222222224</v>
      </c>
      <c r="C189" t="s">
        <v>155</v>
      </c>
      <c r="D189" t="s">
        <v>155</v>
      </c>
      <c r="E189" t="s">
        <v>291</v>
      </c>
      <c r="F189">
        <v>-200000</v>
      </c>
      <c r="G189" t="s">
        <v>61</v>
      </c>
    </row>
    <row r="190" spans="1:7" x14ac:dyDescent="0.3">
      <c r="A190" s="42">
        <v>46191</v>
      </c>
      <c r="B190" s="43">
        <v>0.54098379629629634</v>
      </c>
      <c r="C190" t="s">
        <v>155</v>
      </c>
      <c r="D190" t="s">
        <v>155</v>
      </c>
      <c r="E190" t="s">
        <v>291</v>
      </c>
      <c r="F190">
        <v>-500000</v>
      </c>
      <c r="G190" t="s">
        <v>61</v>
      </c>
    </row>
    <row r="191" spans="1:7" x14ac:dyDescent="0.3">
      <c r="A191" s="42">
        <v>46191</v>
      </c>
      <c r="B191" s="43">
        <v>0.53063657407407405</v>
      </c>
      <c r="C191" t="s">
        <v>176</v>
      </c>
      <c r="D191" t="s">
        <v>28</v>
      </c>
      <c r="E191" t="s">
        <v>178</v>
      </c>
      <c r="F191">
        <v>35140</v>
      </c>
      <c r="G191" t="s">
        <v>61</v>
      </c>
    </row>
    <row r="192" spans="1:7" x14ac:dyDescent="0.3">
      <c r="A192" s="42">
        <v>46191</v>
      </c>
      <c r="B192" s="43">
        <v>0.47355324074074068</v>
      </c>
      <c r="C192" t="s">
        <v>155</v>
      </c>
      <c r="D192" t="s">
        <v>163</v>
      </c>
      <c r="E192" t="s">
        <v>223</v>
      </c>
      <c r="F192">
        <v>923</v>
      </c>
      <c r="G192" t="s">
        <v>68</v>
      </c>
    </row>
    <row r="193" spans="1:7" x14ac:dyDescent="0.3">
      <c r="A193" s="42">
        <v>46191</v>
      </c>
      <c r="B193" s="43">
        <v>0.47355324074074068</v>
      </c>
      <c r="C193" t="s">
        <v>155</v>
      </c>
      <c r="D193" t="s">
        <v>163</v>
      </c>
      <c r="E193" t="s">
        <v>68</v>
      </c>
      <c r="F193">
        <v>-923</v>
      </c>
      <c r="G193" t="s">
        <v>67</v>
      </c>
    </row>
    <row r="194" spans="1:7" x14ac:dyDescent="0.3">
      <c r="A194" s="42">
        <v>46190</v>
      </c>
      <c r="B194" s="43">
        <v>0.93068287037037034</v>
      </c>
      <c r="C194" t="s">
        <v>155</v>
      </c>
      <c r="D194" t="s">
        <v>163</v>
      </c>
      <c r="E194" t="s">
        <v>164</v>
      </c>
      <c r="F194">
        <v>56075</v>
      </c>
      <c r="G194" t="s">
        <v>158</v>
      </c>
    </row>
    <row r="195" spans="1:7" x14ac:dyDescent="0.3">
      <c r="A195" s="42">
        <v>46190</v>
      </c>
      <c r="B195" s="43">
        <v>0.93068287037037034</v>
      </c>
      <c r="C195" t="s">
        <v>152</v>
      </c>
      <c r="D195" t="s">
        <v>37</v>
      </c>
      <c r="E195" t="s">
        <v>165</v>
      </c>
      <c r="F195">
        <v>-61000</v>
      </c>
      <c r="G195" t="s">
        <v>158</v>
      </c>
    </row>
    <row r="196" spans="1:7" x14ac:dyDescent="0.3">
      <c r="A196" s="42">
        <v>46190</v>
      </c>
      <c r="B196" s="43">
        <v>0.93068287037037034</v>
      </c>
      <c r="C196" t="s">
        <v>155</v>
      </c>
      <c r="D196" t="s">
        <v>163</v>
      </c>
      <c r="E196" t="s">
        <v>166</v>
      </c>
      <c r="F196">
        <v>-56075</v>
      </c>
      <c r="G196" t="s">
        <v>61</v>
      </c>
    </row>
    <row r="197" spans="1:7" x14ac:dyDescent="0.3">
      <c r="A197" s="42">
        <v>46190</v>
      </c>
      <c r="B197" s="43">
        <v>0.38127314814814822</v>
      </c>
      <c r="C197" t="s">
        <v>155</v>
      </c>
      <c r="D197" t="s">
        <v>292</v>
      </c>
      <c r="E197" t="s">
        <v>293</v>
      </c>
      <c r="F197">
        <v>580</v>
      </c>
      <c r="G197" t="s">
        <v>67</v>
      </c>
    </row>
    <row r="198" spans="1:7" x14ac:dyDescent="0.3">
      <c r="A198" s="42">
        <v>46190</v>
      </c>
      <c r="B198" s="43">
        <v>0.38121527777777781</v>
      </c>
      <c r="C198" t="s">
        <v>152</v>
      </c>
      <c r="D198" t="s">
        <v>37</v>
      </c>
      <c r="E198" t="s">
        <v>294</v>
      </c>
      <c r="F198">
        <v>-100202657</v>
      </c>
      <c r="G198" t="s">
        <v>67</v>
      </c>
    </row>
    <row r="199" spans="1:7" x14ac:dyDescent="0.3">
      <c r="A199" s="42">
        <v>46190</v>
      </c>
      <c r="B199" s="43">
        <v>0.38075231481481481</v>
      </c>
      <c r="C199" t="s">
        <v>155</v>
      </c>
      <c r="D199" t="s">
        <v>163</v>
      </c>
      <c r="E199" t="s">
        <v>7</v>
      </c>
      <c r="F199">
        <v>-103000</v>
      </c>
      <c r="G199" t="s">
        <v>67</v>
      </c>
    </row>
    <row r="200" spans="1:7" x14ac:dyDescent="0.3">
      <c r="A200" s="42">
        <v>46190</v>
      </c>
      <c r="B200" s="43">
        <v>0.38075231481481481</v>
      </c>
      <c r="C200" t="s">
        <v>155</v>
      </c>
      <c r="D200" t="s">
        <v>163</v>
      </c>
      <c r="E200" t="s">
        <v>7</v>
      </c>
      <c r="F200">
        <v>103000</v>
      </c>
      <c r="G200" t="s">
        <v>67</v>
      </c>
    </row>
    <row r="201" spans="1:7" x14ac:dyDescent="0.3">
      <c r="A201" s="42">
        <v>46190</v>
      </c>
      <c r="B201" s="43">
        <v>0.37958333333333327</v>
      </c>
      <c r="C201" t="s">
        <v>155</v>
      </c>
      <c r="D201" t="s">
        <v>163</v>
      </c>
      <c r="E201" t="s">
        <v>7</v>
      </c>
      <c r="F201">
        <v>-80000000</v>
      </c>
      <c r="G201" t="s">
        <v>67</v>
      </c>
    </row>
    <row r="202" spans="1:7" x14ac:dyDescent="0.3">
      <c r="A202" s="42">
        <v>46190</v>
      </c>
      <c r="B202" s="43">
        <v>0.37958333333333327</v>
      </c>
      <c r="C202" t="s">
        <v>155</v>
      </c>
      <c r="D202" t="s">
        <v>163</v>
      </c>
      <c r="E202" t="s">
        <v>7</v>
      </c>
      <c r="F202">
        <v>80000000</v>
      </c>
      <c r="G202" t="s">
        <v>67</v>
      </c>
    </row>
    <row r="203" spans="1:7" x14ac:dyDescent="0.3">
      <c r="A203" s="42">
        <v>46190</v>
      </c>
      <c r="B203" s="43">
        <v>0.25245370370370368</v>
      </c>
      <c r="C203" t="s">
        <v>155</v>
      </c>
      <c r="D203" t="s">
        <v>217</v>
      </c>
      <c r="E203" t="s">
        <v>295</v>
      </c>
      <c r="F203">
        <v>80160956</v>
      </c>
      <c r="G203" t="s">
        <v>67</v>
      </c>
    </row>
    <row r="204" spans="1:7" x14ac:dyDescent="0.3">
      <c r="A204" s="42">
        <v>46189</v>
      </c>
      <c r="B204" s="43">
        <v>0.49438657407407399</v>
      </c>
      <c r="C204" t="s">
        <v>152</v>
      </c>
      <c r="D204" t="s">
        <v>42</v>
      </c>
      <c r="E204" t="s">
        <v>296</v>
      </c>
      <c r="F204">
        <v>-6300</v>
      </c>
      <c r="G204" t="s">
        <v>186</v>
      </c>
    </row>
    <row r="205" spans="1:7" x14ac:dyDescent="0.3">
      <c r="A205" s="42">
        <v>46189</v>
      </c>
      <c r="B205" s="43">
        <v>0.48810185185185179</v>
      </c>
      <c r="C205" t="s">
        <v>155</v>
      </c>
      <c r="D205" t="s">
        <v>155</v>
      </c>
      <c r="E205" t="s">
        <v>297</v>
      </c>
      <c r="F205">
        <v>4925</v>
      </c>
      <c r="G205" t="s">
        <v>158</v>
      </c>
    </row>
    <row r="206" spans="1:7" x14ac:dyDescent="0.3">
      <c r="A206" s="42">
        <v>46189</v>
      </c>
      <c r="B206" s="43">
        <v>0.48582175925925919</v>
      </c>
      <c r="C206" t="s">
        <v>155</v>
      </c>
      <c r="D206" t="s">
        <v>155</v>
      </c>
      <c r="E206" t="s">
        <v>166</v>
      </c>
      <c r="F206">
        <v>-12600</v>
      </c>
      <c r="G206" t="s">
        <v>61</v>
      </c>
    </row>
    <row r="207" spans="1:7" x14ac:dyDescent="0.3">
      <c r="A207" s="42">
        <v>46189</v>
      </c>
      <c r="B207" s="43">
        <v>0.48581018518518521</v>
      </c>
      <c r="C207" t="s">
        <v>155</v>
      </c>
      <c r="D207" t="s">
        <v>163</v>
      </c>
      <c r="E207" t="s">
        <v>164</v>
      </c>
      <c r="F207">
        <v>12600</v>
      </c>
      <c r="G207" t="s">
        <v>158</v>
      </c>
    </row>
    <row r="208" spans="1:7" x14ac:dyDescent="0.3">
      <c r="A208" s="42">
        <v>46189</v>
      </c>
      <c r="B208" s="43">
        <v>0.48581018518518521</v>
      </c>
      <c r="C208" t="s">
        <v>152</v>
      </c>
      <c r="D208" t="s">
        <v>37</v>
      </c>
      <c r="E208" t="s">
        <v>165</v>
      </c>
      <c r="F208">
        <v>-17100</v>
      </c>
      <c r="G208" t="s">
        <v>158</v>
      </c>
    </row>
    <row r="209" spans="1:7" x14ac:dyDescent="0.3">
      <c r="A209" s="42">
        <v>46188</v>
      </c>
      <c r="B209" s="43">
        <v>0.86201388888888886</v>
      </c>
      <c r="C209" t="s">
        <v>152</v>
      </c>
      <c r="D209" t="s">
        <v>40</v>
      </c>
      <c r="E209" t="s">
        <v>298</v>
      </c>
      <c r="F209">
        <v>-11300</v>
      </c>
      <c r="G209" t="s">
        <v>186</v>
      </c>
    </row>
    <row r="210" spans="1:7" x14ac:dyDescent="0.3">
      <c r="A210" s="42">
        <v>46188</v>
      </c>
      <c r="B210" s="43">
        <v>0.8305555555555556</v>
      </c>
      <c r="C210" t="s">
        <v>152</v>
      </c>
      <c r="D210" t="s">
        <v>42</v>
      </c>
      <c r="E210" t="s">
        <v>299</v>
      </c>
      <c r="F210">
        <v>-1400</v>
      </c>
      <c r="G210" t="s">
        <v>186</v>
      </c>
    </row>
    <row r="211" spans="1:7" x14ac:dyDescent="0.3">
      <c r="A211" s="42">
        <v>46188</v>
      </c>
      <c r="B211" s="43">
        <v>0.75099537037037034</v>
      </c>
      <c r="C211" t="s">
        <v>155</v>
      </c>
      <c r="D211" t="s">
        <v>155</v>
      </c>
      <c r="E211" t="s">
        <v>300</v>
      </c>
      <c r="F211">
        <v>200000</v>
      </c>
      <c r="G211" t="s">
        <v>61</v>
      </c>
    </row>
    <row r="212" spans="1:7" x14ac:dyDescent="0.3">
      <c r="A212" s="42">
        <v>46188</v>
      </c>
      <c r="B212" s="43">
        <v>0.64231481481481478</v>
      </c>
      <c r="C212" t="s">
        <v>155</v>
      </c>
      <c r="D212" t="s">
        <v>155</v>
      </c>
      <c r="E212" t="s">
        <v>301</v>
      </c>
      <c r="F212">
        <v>-4000000</v>
      </c>
      <c r="G212" t="s">
        <v>60</v>
      </c>
    </row>
    <row r="213" spans="1:7" x14ac:dyDescent="0.3">
      <c r="A213" s="42">
        <v>46188</v>
      </c>
      <c r="B213" s="43">
        <v>0.48378472222222219</v>
      </c>
      <c r="C213" t="s">
        <v>155</v>
      </c>
      <c r="D213" t="s">
        <v>163</v>
      </c>
      <c r="E213" t="s">
        <v>7</v>
      </c>
      <c r="F213">
        <v>5512652</v>
      </c>
      <c r="G213" t="s">
        <v>61</v>
      </c>
    </row>
    <row r="214" spans="1:7" x14ac:dyDescent="0.3">
      <c r="A214" s="42">
        <v>46188</v>
      </c>
      <c r="B214" s="43">
        <v>0.4836111111111111</v>
      </c>
      <c r="C214" t="s">
        <v>155</v>
      </c>
      <c r="D214" t="s">
        <v>163</v>
      </c>
      <c r="E214" t="s">
        <v>7</v>
      </c>
      <c r="F214">
        <v>10000000</v>
      </c>
      <c r="G214" t="s">
        <v>61</v>
      </c>
    </row>
    <row r="215" spans="1:7" x14ac:dyDescent="0.3">
      <c r="A215" s="42">
        <v>46188</v>
      </c>
      <c r="B215" s="43">
        <v>0.48340277777777779</v>
      </c>
      <c r="C215" t="s">
        <v>155</v>
      </c>
      <c r="D215" t="s">
        <v>163</v>
      </c>
      <c r="E215" t="s">
        <v>7</v>
      </c>
      <c r="F215">
        <v>10000000</v>
      </c>
      <c r="G215" t="s">
        <v>61</v>
      </c>
    </row>
    <row r="216" spans="1:7" x14ac:dyDescent="0.3">
      <c r="A216" s="42">
        <v>46188</v>
      </c>
      <c r="B216" s="43">
        <v>0.4115509259259259</v>
      </c>
      <c r="C216" t="s">
        <v>152</v>
      </c>
      <c r="D216" t="s">
        <v>36</v>
      </c>
      <c r="E216" t="s">
        <v>274</v>
      </c>
      <c r="F216">
        <v>-1750</v>
      </c>
      <c r="G216" t="s">
        <v>161</v>
      </c>
    </row>
    <row r="217" spans="1:7" x14ac:dyDescent="0.3">
      <c r="A217" s="42">
        <v>46187</v>
      </c>
      <c r="B217" s="43">
        <v>0.77064814814814819</v>
      </c>
      <c r="C217" t="s">
        <v>152</v>
      </c>
      <c r="D217" t="s">
        <v>50</v>
      </c>
      <c r="E217" t="s">
        <v>302</v>
      </c>
      <c r="F217">
        <v>-82800</v>
      </c>
      <c r="G217" t="s">
        <v>186</v>
      </c>
    </row>
    <row r="218" spans="1:7" x14ac:dyDescent="0.3">
      <c r="A218" s="42">
        <v>46187</v>
      </c>
      <c r="B218" s="43">
        <v>0.75483796296296302</v>
      </c>
      <c r="C218" t="s">
        <v>152</v>
      </c>
      <c r="D218" t="s">
        <v>50</v>
      </c>
      <c r="E218" t="s">
        <v>302</v>
      </c>
      <c r="F218">
        <v>-40000</v>
      </c>
      <c r="G218" t="s">
        <v>186</v>
      </c>
    </row>
    <row r="219" spans="1:7" x14ac:dyDescent="0.3">
      <c r="A219" s="42">
        <v>46187</v>
      </c>
      <c r="B219" s="43">
        <v>0.37870370370370371</v>
      </c>
      <c r="C219" t="s">
        <v>155</v>
      </c>
      <c r="D219" t="s">
        <v>155</v>
      </c>
      <c r="E219" t="s">
        <v>277</v>
      </c>
      <c r="F219">
        <v>10000000</v>
      </c>
      <c r="G219" t="s">
        <v>61</v>
      </c>
    </row>
    <row r="220" spans="1:7" x14ac:dyDescent="0.3">
      <c r="A220" s="42">
        <v>46187</v>
      </c>
      <c r="B220" s="43">
        <v>0.37849537037037029</v>
      </c>
      <c r="C220" t="s">
        <v>155</v>
      </c>
      <c r="D220" t="s">
        <v>155</v>
      </c>
      <c r="E220" t="s">
        <v>277</v>
      </c>
      <c r="F220">
        <v>10000000</v>
      </c>
      <c r="G220" t="s">
        <v>61</v>
      </c>
    </row>
    <row r="221" spans="1:7" x14ac:dyDescent="0.3">
      <c r="A221" s="42">
        <v>46187</v>
      </c>
      <c r="B221" s="43">
        <v>0.37827546296296288</v>
      </c>
      <c r="C221" t="s">
        <v>155</v>
      </c>
      <c r="D221" t="s">
        <v>155</v>
      </c>
      <c r="E221" t="s">
        <v>277</v>
      </c>
      <c r="F221">
        <v>10000000</v>
      </c>
      <c r="G221" t="s">
        <v>61</v>
      </c>
    </row>
    <row r="222" spans="1:7" x14ac:dyDescent="0.3">
      <c r="A222" s="42">
        <v>46187</v>
      </c>
      <c r="B222" s="43">
        <v>0.34556712962962971</v>
      </c>
      <c r="C222" t="s">
        <v>155</v>
      </c>
      <c r="D222" t="s">
        <v>155</v>
      </c>
      <c r="E222" t="s">
        <v>297</v>
      </c>
      <c r="F222">
        <v>4500</v>
      </c>
      <c r="G222" t="s">
        <v>158</v>
      </c>
    </row>
    <row r="223" spans="1:7" x14ac:dyDescent="0.3">
      <c r="A223" s="42">
        <v>46186</v>
      </c>
      <c r="B223" s="43">
        <v>0.86362268518518515</v>
      </c>
      <c r="C223" t="s">
        <v>155</v>
      </c>
      <c r="D223" t="s">
        <v>155</v>
      </c>
      <c r="E223" t="s">
        <v>303</v>
      </c>
      <c r="F223">
        <v>90000</v>
      </c>
      <c r="G223" t="s">
        <v>61</v>
      </c>
    </row>
    <row r="224" spans="1:7" x14ac:dyDescent="0.3">
      <c r="A224" s="42">
        <v>46186</v>
      </c>
      <c r="B224" s="43">
        <v>0.57269675925925922</v>
      </c>
      <c r="C224" t="s">
        <v>152</v>
      </c>
      <c r="D224" t="s">
        <v>49</v>
      </c>
      <c r="E224" t="s">
        <v>288</v>
      </c>
      <c r="F224">
        <v>-14500</v>
      </c>
      <c r="G224" t="s">
        <v>154</v>
      </c>
    </row>
    <row r="225" spans="1:7" x14ac:dyDescent="0.3">
      <c r="A225" s="42">
        <v>46186</v>
      </c>
      <c r="B225" s="43">
        <v>0.42660879629629628</v>
      </c>
      <c r="C225" t="s">
        <v>152</v>
      </c>
      <c r="D225" t="s">
        <v>36</v>
      </c>
      <c r="E225" t="s">
        <v>274</v>
      </c>
      <c r="F225">
        <v>-1650</v>
      </c>
      <c r="G225" t="s">
        <v>161</v>
      </c>
    </row>
    <row r="226" spans="1:7" x14ac:dyDescent="0.3">
      <c r="A226" s="42">
        <v>46186</v>
      </c>
      <c r="B226" s="43">
        <v>0.39887731481481481</v>
      </c>
      <c r="C226" t="s">
        <v>155</v>
      </c>
      <c r="D226" t="s">
        <v>163</v>
      </c>
      <c r="E226" t="s">
        <v>164</v>
      </c>
      <c r="F226">
        <v>188500</v>
      </c>
      <c r="G226" t="s">
        <v>158</v>
      </c>
    </row>
    <row r="227" spans="1:7" x14ac:dyDescent="0.3">
      <c r="A227" s="42">
        <v>46186</v>
      </c>
      <c r="B227" s="43">
        <v>0.39887731481481481</v>
      </c>
      <c r="C227" t="s">
        <v>155</v>
      </c>
      <c r="D227" t="s">
        <v>155</v>
      </c>
      <c r="E227" t="s">
        <v>304</v>
      </c>
      <c r="F227">
        <v>-200000</v>
      </c>
      <c r="G227" t="s">
        <v>158</v>
      </c>
    </row>
    <row r="228" spans="1:7" x14ac:dyDescent="0.3">
      <c r="A228" s="42">
        <v>46186</v>
      </c>
      <c r="B228" s="43">
        <v>0.39887731481481481</v>
      </c>
      <c r="C228" t="s">
        <v>155</v>
      </c>
      <c r="D228" t="s">
        <v>163</v>
      </c>
      <c r="E228" t="s">
        <v>166</v>
      </c>
      <c r="F228">
        <v>-188500</v>
      </c>
      <c r="G228" t="s">
        <v>61</v>
      </c>
    </row>
    <row r="229" spans="1:7" x14ac:dyDescent="0.3">
      <c r="A229" s="42">
        <v>46185</v>
      </c>
      <c r="B229" s="43">
        <v>0.43409722222222219</v>
      </c>
      <c r="C229" t="s">
        <v>152</v>
      </c>
      <c r="D229" t="s">
        <v>44</v>
      </c>
      <c r="E229" t="s">
        <v>159</v>
      </c>
      <c r="F229">
        <v>-13900</v>
      </c>
      <c r="G229" t="s">
        <v>154</v>
      </c>
    </row>
    <row r="230" spans="1:7" x14ac:dyDescent="0.3">
      <c r="A230" s="42">
        <v>46185</v>
      </c>
      <c r="B230" s="43">
        <v>0.42927083333333332</v>
      </c>
      <c r="C230" t="s">
        <v>152</v>
      </c>
      <c r="D230" t="s">
        <v>36</v>
      </c>
      <c r="E230" t="s">
        <v>274</v>
      </c>
      <c r="F230">
        <v>-1750</v>
      </c>
      <c r="G230" t="s">
        <v>161</v>
      </c>
    </row>
    <row r="231" spans="1:7" x14ac:dyDescent="0.3">
      <c r="A231" s="42">
        <v>46184</v>
      </c>
      <c r="B231" s="43">
        <v>0.89976851851851847</v>
      </c>
      <c r="C231" t="s">
        <v>152</v>
      </c>
      <c r="D231" t="s">
        <v>44</v>
      </c>
      <c r="E231" t="s">
        <v>190</v>
      </c>
      <c r="F231">
        <v>7880</v>
      </c>
      <c r="G231" t="s">
        <v>154</v>
      </c>
    </row>
    <row r="232" spans="1:7" x14ac:dyDescent="0.3">
      <c r="A232" s="42">
        <v>46184</v>
      </c>
      <c r="B232" s="43">
        <v>0.88237268518518519</v>
      </c>
      <c r="C232" t="s">
        <v>152</v>
      </c>
      <c r="D232" t="s">
        <v>44</v>
      </c>
      <c r="E232" t="s">
        <v>190</v>
      </c>
      <c r="F232">
        <v>-7880</v>
      </c>
      <c r="G232" t="s">
        <v>154</v>
      </c>
    </row>
    <row r="233" spans="1:7" x14ac:dyDescent="0.3">
      <c r="A233" s="42">
        <v>46184</v>
      </c>
      <c r="B233" s="43">
        <v>0.6306018518518518</v>
      </c>
      <c r="C233" t="s">
        <v>152</v>
      </c>
      <c r="D233" t="s">
        <v>47</v>
      </c>
      <c r="E233" t="s">
        <v>305</v>
      </c>
      <c r="F233">
        <v>-50000</v>
      </c>
      <c r="G233" t="s">
        <v>169</v>
      </c>
    </row>
    <row r="234" spans="1:7" x14ac:dyDescent="0.3">
      <c r="A234" s="42">
        <v>46184</v>
      </c>
      <c r="B234" s="43">
        <v>0.41089120370370369</v>
      </c>
      <c r="C234" t="s">
        <v>152</v>
      </c>
      <c r="D234" t="s">
        <v>36</v>
      </c>
      <c r="E234" t="s">
        <v>243</v>
      </c>
      <c r="F234">
        <v>-1500</v>
      </c>
      <c r="G234" t="s">
        <v>161</v>
      </c>
    </row>
    <row r="235" spans="1:7" x14ac:dyDescent="0.3">
      <c r="A235" s="42">
        <v>46184</v>
      </c>
      <c r="B235" s="43">
        <v>0.41089120370370369</v>
      </c>
      <c r="C235" t="s">
        <v>152</v>
      </c>
      <c r="D235" t="s">
        <v>36</v>
      </c>
      <c r="E235" t="s">
        <v>244</v>
      </c>
      <c r="F235">
        <v>-2000</v>
      </c>
      <c r="G235" t="s">
        <v>161</v>
      </c>
    </row>
    <row r="236" spans="1:7" x14ac:dyDescent="0.3">
      <c r="A236" s="42">
        <v>46184</v>
      </c>
      <c r="B236" s="43">
        <v>0.32634259259259257</v>
      </c>
      <c r="C236" t="s">
        <v>155</v>
      </c>
      <c r="D236" t="s">
        <v>155</v>
      </c>
      <c r="E236" t="s">
        <v>210</v>
      </c>
      <c r="F236">
        <v>3000000</v>
      </c>
      <c r="G236" t="s">
        <v>60</v>
      </c>
    </row>
    <row r="237" spans="1:7" x14ac:dyDescent="0.3">
      <c r="A237" s="42">
        <v>46183</v>
      </c>
      <c r="B237" s="43">
        <v>0.77961805555555552</v>
      </c>
      <c r="C237" t="s">
        <v>152</v>
      </c>
      <c r="D237" t="s">
        <v>44</v>
      </c>
      <c r="E237" t="s">
        <v>306</v>
      </c>
      <c r="F237">
        <v>-11000</v>
      </c>
      <c r="G237" t="s">
        <v>180</v>
      </c>
    </row>
    <row r="238" spans="1:7" x14ac:dyDescent="0.3">
      <c r="A238" s="42">
        <v>46183</v>
      </c>
      <c r="B238" s="43">
        <v>0.62172453703703701</v>
      </c>
      <c r="C238" t="s">
        <v>176</v>
      </c>
      <c r="D238" t="s">
        <v>32</v>
      </c>
      <c r="E238" t="s">
        <v>177</v>
      </c>
      <c r="F238">
        <v>60300</v>
      </c>
      <c r="G238" t="s">
        <v>61</v>
      </c>
    </row>
    <row r="239" spans="1:7" x14ac:dyDescent="0.3">
      <c r="A239" s="42">
        <v>46183</v>
      </c>
      <c r="B239" s="43">
        <v>0.49178240740740742</v>
      </c>
      <c r="C239" t="s">
        <v>152</v>
      </c>
      <c r="D239" t="s">
        <v>44</v>
      </c>
      <c r="E239" t="s">
        <v>179</v>
      </c>
      <c r="F239">
        <v>-34900</v>
      </c>
      <c r="G239" t="s">
        <v>180</v>
      </c>
    </row>
    <row r="240" spans="1:7" x14ac:dyDescent="0.3">
      <c r="A240" s="42">
        <v>46183</v>
      </c>
      <c r="B240" s="43">
        <v>0.46395833333333331</v>
      </c>
      <c r="C240" t="s">
        <v>152</v>
      </c>
      <c r="D240" t="s">
        <v>42</v>
      </c>
      <c r="E240" t="s">
        <v>307</v>
      </c>
      <c r="F240">
        <v>-15000</v>
      </c>
      <c r="G240" t="s">
        <v>180</v>
      </c>
    </row>
    <row r="241" spans="1:7" x14ac:dyDescent="0.3">
      <c r="A241" s="42">
        <v>46183</v>
      </c>
      <c r="B241" s="43">
        <v>0.41410879629629632</v>
      </c>
      <c r="C241" t="s">
        <v>152</v>
      </c>
      <c r="D241" t="s">
        <v>44</v>
      </c>
      <c r="E241" t="s">
        <v>190</v>
      </c>
      <c r="F241">
        <v>-13010</v>
      </c>
      <c r="G241" t="s">
        <v>154</v>
      </c>
    </row>
    <row r="242" spans="1:7" x14ac:dyDescent="0.3">
      <c r="A242" s="42">
        <v>46183</v>
      </c>
      <c r="B242" s="43">
        <v>0.40614583333333332</v>
      </c>
      <c r="C242" t="s">
        <v>152</v>
      </c>
      <c r="D242" t="s">
        <v>36</v>
      </c>
      <c r="E242" t="s">
        <v>274</v>
      </c>
      <c r="F242">
        <v>-1340</v>
      </c>
      <c r="G242" t="s">
        <v>161</v>
      </c>
    </row>
    <row r="243" spans="1:7" x14ac:dyDescent="0.3">
      <c r="A243" s="42">
        <v>46183</v>
      </c>
      <c r="B243" s="43">
        <v>0.2353240740740741</v>
      </c>
      <c r="C243" t="s">
        <v>152</v>
      </c>
      <c r="D243" t="s">
        <v>44</v>
      </c>
      <c r="E243" t="s">
        <v>190</v>
      </c>
      <c r="F243">
        <v>-19400</v>
      </c>
      <c r="G243" t="s">
        <v>154</v>
      </c>
    </row>
    <row r="244" spans="1:7" x14ac:dyDescent="0.3">
      <c r="A244" s="42">
        <v>46183</v>
      </c>
      <c r="B244" s="43">
        <v>4.2372685185185187E-2</v>
      </c>
      <c r="C244" t="s">
        <v>152</v>
      </c>
      <c r="D244" t="s">
        <v>48</v>
      </c>
      <c r="E244" t="s">
        <v>308</v>
      </c>
      <c r="F244">
        <v>-11100</v>
      </c>
      <c r="G244" t="s">
        <v>154</v>
      </c>
    </row>
    <row r="245" spans="1:7" x14ac:dyDescent="0.3">
      <c r="A245" s="42">
        <v>46183</v>
      </c>
      <c r="B245" s="43">
        <v>0</v>
      </c>
      <c r="C245" t="s">
        <v>152</v>
      </c>
      <c r="D245" t="s">
        <v>44</v>
      </c>
      <c r="E245" t="s">
        <v>309</v>
      </c>
      <c r="F245">
        <v>11000</v>
      </c>
      <c r="G245" t="s">
        <v>186</v>
      </c>
    </row>
    <row r="246" spans="1:7" x14ac:dyDescent="0.3">
      <c r="A246" s="42">
        <v>46182</v>
      </c>
      <c r="B246" s="43">
        <v>0.46902777777777782</v>
      </c>
      <c r="C246" t="s">
        <v>155</v>
      </c>
      <c r="D246" t="s">
        <v>163</v>
      </c>
      <c r="E246" t="s">
        <v>7</v>
      </c>
      <c r="F246">
        <v>20000000</v>
      </c>
      <c r="G246" t="s">
        <v>67</v>
      </c>
    </row>
    <row r="247" spans="1:7" x14ac:dyDescent="0.3">
      <c r="A247" s="42">
        <v>46182</v>
      </c>
      <c r="B247" s="43">
        <v>0.39828703703703711</v>
      </c>
      <c r="C247" t="s">
        <v>155</v>
      </c>
      <c r="D247" t="s">
        <v>217</v>
      </c>
      <c r="E247" t="s">
        <v>310</v>
      </c>
      <c r="F247">
        <v>1</v>
      </c>
      <c r="G247" t="s">
        <v>61</v>
      </c>
    </row>
    <row r="248" spans="1:7" x14ac:dyDescent="0.3">
      <c r="A248" s="42">
        <v>46182</v>
      </c>
      <c r="B248" s="43">
        <v>4.2372685185185187E-2</v>
      </c>
      <c r="C248" t="s">
        <v>152</v>
      </c>
      <c r="D248" t="s">
        <v>48</v>
      </c>
      <c r="E248" t="s">
        <v>311</v>
      </c>
      <c r="F248">
        <v>-35000</v>
      </c>
      <c r="G248" t="s">
        <v>154</v>
      </c>
    </row>
    <row r="249" spans="1:7" x14ac:dyDescent="0.3">
      <c r="A249" s="42">
        <v>46182</v>
      </c>
      <c r="B249" s="43">
        <v>4.2372685185185187E-2</v>
      </c>
      <c r="C249" t="s">
        <v>152</v>
      </c>
      <c r="D249" t="s">
        <v>48</v>
      </c>
      <c r="E249" t="s">
        <v>311</v>
      </c>
      <c r="F249">
        <v>-39930</v>
      </c>
      <c r="G249" t="s">
        <v>154</v>
      </c>
    </row>
    <row r="250" spans="1:7" x14ac:dyDescent="0.3">
      <c r="A250" s="42">
        <v>46181</v>
      </c>
      <c r="B250" s="43">
        <v>0.71994212962962967</v>
      </c>
      <c r="C250" t="s">
        <v>152</v>
      </c>
      <c r="D250" t="s">
        <v>47</v>
      </c>
      <c r="E250" t="s">
        <v>312</v>
      </c>
      <c r="F250">
        <v>-54000</v>
      </c>
      <c r="G250" t="s">
        <v>182</v>
      </c>
    </row>
    <row r="251" spans="1:7" x14ac:dyDescent="0.3">
      <c r="A251" s="42">
        <v>46181</v>
      </c>
      <c r="B251" s="43">
        <v>0.41260416666666672</v>
      </c>
      <c r="C251" t="s">
        <v>176</v>
      </c>
      <c r="D251" t="s">
        <v>32</v>
      </c>
      <c r="E251" t="s">
        <v>313</v>
      </c>
      <c r="F251">
        <v>1</v>
      </c>
      <c r="G251" t="s">
        <v>64</v>
      </c>
    </row>
    <row r="252" spans="1:7" x14ac:dyDescent="0.3">
      <c r="A252" s="42">
        <v>46181</v>
      </c>
      <c r="B252" s="43">
        <v>0.41035879629629629</v>
      </c>
      <c r="C252" t="s">
        <v>152</v>
      </c>
      <c r="D252" t="s">
        <v>36</v>
      </c>
      <c r="E252" t="s">
        <v>243</v>
      </c>
      <c r="F252">
        <v>-1500</v>
      </c>
      <c r="G252" t="s">
        <v>161</v>
      </c>
    </row>
    <row r="253" spans="1:7" x14ac:dyDescent="0.3">
      <c r="A253" s="42">
        <v>46181</v>
      </c>
      <c r="B253" s="43">
        <v>0.41035879629629629</v>
      </c>
      <c r="C253" t="s">
        <v>152</v>
      </c>
      <c r="D253" t="s">
        <v>36</v>
      </c>
      <c r="E253" t="s">
        <v>314</v>
      </c>
      <c r="F253">
        <v>-3450</v>
      </c>
      <c r="G253" t="s">
        <v>161</v>
      </c>
    </row>
    <row r="254" spans="1:7" x14ac:dyDescent="0.3">
      <c r="A254" s="42">
        <v>46180</v>
      </c>
      <c r="B254" s="43">
        <v>0.78998842592592589</v>
      </c>
      <c r="C254" t="s">
        <v>152</v>
      </c>
      <c r="D254" t="s">
        <v>40</v>
      </c>
      <c r="E254" t="s">
        <v>248</v>
      </c>
      <c r="F254">
        <v>-13900</v>
      </c>
      <c r="G254" t="s">
        <v>180</v>
      </c>
    </row>
    <row r="255" spans="1:7" x14ac:dyDescent="0.3">
      <c r="A255" s="42">
        <v>46180</v>
      </c>
      <c r="B255" s="43">
        <v>0.54219907407407408</v>
      </c>
      <c r="C255" t="s">
        <v>152</v>
      </c>
      <c r="D255" t="s">
        <v>50</v>
      </c>
      <c r="E255" t="s">
        <v>315</v>
      </c>
      <c r="F255">
        <v>-8200</v>
      </c>
      <c r="G255" t="s">
        <v>186</v>
      </c>
    </row>
    <row r="256" spans="1:7" x14ac:dyDescent="0.3">
      <c r="A256" s="42">
        <v>46180</v>
      </c>
      <c r="B256" s="43">
        <v>0.51030092592592591</v>
      </c>
      <c r="C256" t="s">
        <v>152</v>
      </c>
      <c r="D256" t="s">
        <v>49</v>
      </c>
      <c r="E256" t="s">
        <v>316</v>
      </c>
      <c r="F256">
        <v>-6300</v>
      </c>
      <c r="G256" t="s">
        <v>186</v>
      </c>
    </row>
    <row r="257" spans="1:7" x14ac:dyDescent="0.3">
      <c r="A257" s="42">
        <v>46180</v>
      </c>
      <c r="B257" s="43">
        <v>0.44210648148148152</v>
      </c>
      <c r="C257" t="s">
        <v>155</v>
      </c>
      <c r="D257" t="s">
        <v>155</v>
      </c>
      <c r="E257" t="s">
        <v>297</v>
      </c>
      <c r="F257">
        <v>4500</v>
      </c>
      <c r="G257" t="s">
        <v>158</v>
      </c>
    </row>
    <row r="258" spans="1:7" x14ac:dyDescent="0.3">
      <c r="A258" s="42">
        <v>46180</v>
      </c>
      <c r="B258" s="43">
        <v>0.40862268518518519</v>
      </c>
      <c r="C258" t="s">
        <v>152</v>
      </c>
      <c r="D258" t="s">
        <v>36</v>
      </c>
      <c r="E258" t="s">
        <v>243</v>
      </c>
      <c r="F258">
        <v>-1500</v>
      </c>
      <c r="G258" t="s">
        <v>161</v>
      </c>
    </row>
    <row r="259" spans="1:7" x14ac:dyDescent="0.3">
      <c r="A259" s="42">
        <v>46180</v>
      </c>
      <c r="B259" s="43">
        <v>0.40862268518518519</v>
      </c>
      <c r="C259" t="s">
        <v>152</v>
      </c>
      <c r="D259" t="s">
        <v>36</v>
      </c>
      <c r="E259" t="s">
        <v>244</v>
      </c>
      <c r="F259">
        <v>-2000</v>
      </c>
      <c r="G259" t="s">
        <v>161</v>
      </c>
    </row>
    <row r="260" spans="1:7" x14ac:dyDescent="0.3">
      <c r="A260" s="42">
        <v>46180</v>
      </c>
      <c r="B260" s="43">
        <v>0.16918981481481479</v>
      </c>
      <c r="C260" t="s">
        <v>152</v>
      </c>
      <c r="D260" t="s">
        <v>36</v>
      </c>
      <c r="E260" t="s">
        <v>250</v>
      </c>
      <c r="F260">
        <v>-41200</v>
      </c>
      <c r="G260" t="s">
        <v>180</v>
      </c>
    </row>
    <row r="261" spans="1:7" x14ac:dyDescent="0.3">
      <c r="A261" s="42">
        <v>46179</v>
      </c>
      <c r="B261" s="43">
        <v>0.8344907407407407</v>
      </c>
      <c r="C261" t="s">
        <v>152</v>
      </c>
      <c r="D261" t="s">
        <v>40</v>
      </c>
      <c r="E261" t="s">
        <v>289</v>
      </c>
      <c r="F261">
        <v>-11200</v>
      </c>
      <c r="G261" t="s">
        <v>186</v>
      </c>
    </row>
    <row r="262" spans="1:7" x14ac:dyDescent="0.3">
      <c r="A262" s="42">
        <v>46179</v>
      </c>
      <c r="B262" s="43">
        <v>0.8299305555555555</v>
      </c>
      <c r="C262" t="s">
        <v>155</v>
      </c>
      <c r="D262" t="s">
        <v>163</v>
      </c>
      <c r="E262" t="s">
        <v>164</v>
      </c>
      <c r="F262">
        <v>10000</v>
      </c>
      <c r="G262" t="s">
        <v>158</v>
      </c>
    </row>
    <row r="263" spans="1:7" x14ac:dyDescent="0.3">
      <c r="A263" s="42">
        <v>46179</v>
      </c>
      <c r="B263" s="43">
        <v>0.8299305555555555</v>
      </c>
      <c r="C263" t="s">
        <v>155</v>
      </c>
      <c r="D263" t="s">
        <v>155</v>
      </c>
      <c r="E263" t="s">
        <v>317</v>
      </c>
      <c r="F263">
        <v>-3000</v>
      </c>
      <c r="G263" t="s">
        <v>158</v>
      </c>
    </row>
    <row r="264" spans="1:7" x14ac:dyDescent="0.3">
      <c r="A264" s="42">
        <v>46179</v>
      </c>
      <c r="B264" s="43">
        <v>0.8299305555555555</v>
      </c>
      <c r="C264" t="s">
        <v>155</v>
      </c>
      <c r="D264" t="s">
        <v>163</v>
      </c>
      <c r="E264" t="s">
        <v>166</v>
      </c>
      <c r="F264">
        <v>-10000</v>
      </c>
      <c r="G264" t="s">
        <v>61</v>
      </c>
    </row>
    <row r="265" spans="1:7" x14ac:dyDescent="0.3">
      <c r="A265" s="42">
        <v>46179</v>
      </c>
      <c r="B265" s="43">
        <v>0.73814814814814811</v>
      </c>
      <c r="C265" t="s">
        <v>152</v>
      </c>
      <c r="D265" t="s">
        <v>38</v>
      </c>
      <c r="E265" t="s">
        <v>318</v>
      </c>
      <c r="F265">
        <v>-31000</v>
      </c>
      <c r="G265" t="s">
        <v>186</v>
      </c>
    </row>
    <row r="266" spans="1:7" x14ac:dyDescent="0.3">
      <c r="A266" s="42">
        <v>46179</v>
      </c>
      <c r="B266" s="43">
        <v>0.51149305555555558</v>
      </c>
      <c r="C266" t="s">
        <v>152</v>
      </c>
      <c r="D266" t="s">
        <v>42</v>
      </c>
      <c r="E266" t="s">
        <v>319</v>
      </c>
      <c r="F266">
        <v>-55000</v>
      </c>
      <c r="G266" t="s">
        <v>186</v>
      </c>
    </row>
    <row r="267" spans="1:7" x14ac:dyDescent="0.3">
      <c r="A267" s="42">
        <v>46179</v>
      </c>
      <c r="B267" s="43">
        <v>0.40923611111111108</v>
      </c>
      <c r="C267" t="s">
        <v>152</v>
      </c>
      <c r="D267" t="s">
        <v>36</v>
      </c>
      <c r="E267" t="s">
        <v>243</v>
      </c>
      <c r="F267">
        <v>-1500</v>
      </c>
      <c r="G267" t="s">
        <v>161</v>
      </c>
    </row>
    <row r="268" spans="1:7" x14ac:dyDescent="0.3">
      <c r="A268" s="42">
        <v>46179</v>
      </c>
      <c r="B268" s="43">
        <v>0.40923611111111108</v>
      </c>
      <c r="C268" t="s">
        <v>152</v>
      </c>
      <c r="D268" t="s">
        <v>36</v>
      </c>
      <c r="E268" t="s">
        <v>314</v>
      </c>
      <c r="F268">
        <v>-3550</v>
      </c>
      <c r="G268" t="s">
        <v>161</v>
      </c>
    </row>
    <row r="269" spans="1:7" x14ac:dyDescent="0.3">
      <c r="A269" s="42">
        <v>46178</v>
      </c>
      <c r="B269" s="43">
        <v>0.73598379629629629</v>
      </c>
      <c r="C269" t="s">
        <v>155</v>
      </c>
      <c r="D269" t="s">
        <v>155</v>
      </c>
      <c r="E269" t="s">
        <v>166</v>
      </c>
      <c r="F269">
        <v>-10000</v>
      </c>
      <c r="G269" t="s">
        <v>61</v>
      </c>
    </row>
    <row r="270" spans="1:7" x14ac:dyDescent="0.3">
      <c r="A270" s="42">
        <v>46178</v>
      </c>
      <c r="B270" s="43">
        <v>0.66591435185185188</v>
      </c>
      <c r="C270" t="s">
        <v>152</v>
      </c>
      <c r="D270" t="s">
        <v>50</v>
      </c>
      <c r="E270" t="s">
        <v>184</v>
      </c>
      <c r="F270">
        <v>-1600</v>
      </c>
      <c r="G270" t="s">
        <v>186</v>
      </c>
    </row>
    <row r="271" spans="1:7" x14ac:dyDescent="0.3">
      <c r="A271" s="42">
        <v>46177</v>
      </c>
      <c r="B271" s="43">
        <v>0.62809027777777782</v>
      </c>
      <c r="C271" t="s">
        <v>152</v>
      </c>
      <c r="D271" t="s">
        <v>50</v>
      </c>
      <c r="E271" t="s">
        <v>184</v>
      </c>
      <c r="F271">
        <v>-4800</v>
      </c>
      <c r="G271" t="s">
        <v>186</v>
      </c>
    </row>
    <row r="272" spans="1:7" x14ac:dyDescent="0.3">
      <c r="A272" s="42">
        <v>46177</v>
      </c>
      <c r="B272" s="43">
        <v>0.50592592592592589</v>
      </c>
      <c r="C272" t="s">
        <v>152</v>
      </c>
      <c r="D272" t="s">
        <v>50</v>
      </c>
      <c r="E272" t="s">
        <v>184</v>
      </c>
      <c r="F272">
        <v>-8500</v>
      </c>
      <c r="G272" t="s">
        <v>186</v>
      </c>
    </row>
    <row r="273" spans="1:7" x14ac:dyDescent="0.3">
      <c r="A273" s="42">
        <v>46177</v>
      </c>
      <c r="B273" s="43">
        <v>0.41287037037037039</v>
      </c>
      <c r="C273" t="s">
        <v>155</v>
      </c>
      <c r="D273" t="s">
        <v>155</v>
      </c>
      <c r="E273" t="s">
        <v>320</v>
      </c>
      <c r="F273">
        <v>46274</v>
      </c>
      <c r="G273" t="s">
        <v>61</v>
      </c>
    </row>
    <row r="274" spans="1:7" x14ac:dyDescent="0.3">
      <c r="A274" s="42">
        <v>46177</v>
      </c>
      <c r="B274" s="43">
        <v>0.40946759259259258</v>
      </c>
      <c r="C274" t="s">
        <v>152</v>
      </c>
      <c r="D274" t="s">
        <v>36</v>
      </c>
      <c r="E274" t="s">
        <v>243</v>
      </c>
      <c r="F274">
        <v>-1500</v>
      </c>
      <c r="G274" t="s">
        <v>161</v>
      </c>
    </row>
    <row r="275" spans="1:7" x14ac:dyDescent="0.3">
      <c r="A275" s="42">
        <v>46177</v>
      </c>
      <c r="B275" s="43">
        <v>0.40946759259259258</v>
      </c>
      <c r="C275" t="s">
        <v>152</v>
      </c>
      <c r="D275" t="s">
        <v>36</v>
      </c>
      <c r="E275" t="s">
        <v>244</v>
      </c>
      <c r="F275">
        <v>-2000</v>
      </c>
      <c r="G275" t="s">
        <v>161</v>
      </c>
    </row>
    <row r="276" spans="1:7" x14ac:dyDescent="0.3">
      <c r="A276" s="42">
        <v>46176</v>
      </c>
      <c r="B276" s="43">
        <v>0.72671296296296295</v>
      </c>
      <c r="C276" t="s">
        <v>152</v>
      </c>
      <c r="D276" t="s">
        <v>45</v>
      </c>
      <c r="E276" t="s">
        <v>321</v>
      </c>
      <c r="F276">
        <v>-24100</v>
      </c>
      <c r="G276" t="s">
        <v>186</v>
      </c>
    </row>
    <row r="277" spans="1:7" x14ac:dyDescent="0.3">
      <c r="A277" s="42">
        <v>46176</v>
      </c>
      <c r="B277" s="43">
        <v>0.60593750000000002</v>
      </c>
      <c r="C277" t="s">
        <v>152</v>
      </c>
      <c r="D277" t="s">
        <v>50</v>
      </c>
      <c r="E277" t="s">
        <v>322</v>
      </c>
      <c r="F277">
        <v>-12150</v>
      </c>
      <c r="G277" t="s">
        <v>186</v>
      </c>
    </row>
    <row r="278" spans="1:7" x14ac:dyDescent="0.3">
      <c r="A278" s="42">
        <v>46176</v>
      </c>
      <c r="B278" s="43">
        <v>0.58886574074074072</v>
      </c>
      <c r="C278" t="s">
        <v>152</v>
      </c>
      <c r="D278" t="s">
        <v>40</v>
      </c>
      <c r="E278" t="s">
        <v>323</v>
      </c>
      <c r="F278">
        <v>-404050</v>
      </c>
      <c r="G278" t="s">
        <v>180</v>
      </c>
    </row>
    <row r="279" spans="1:7" x14ac:dyDescent="0.3">
      <c r="A279" s="42">
        <v>46176</v>
      </c>
      <c r="B279" s="43">
        <v>0.44866898148148149</v>
      </c>
      <c r="C279" t="s">
        <v>155</v>
      </c>
      <c r="D279" t="s">
        <v>163</v>
      </c>
      <c r="E279" t="s">
        <v>164</v>
      </c>
      <c r="F279">
        <v>17100</v>
      </c>
      <c r="G279" t="s">
        <v>158</v>
      </c>
    </row>
    <row r="280" spans="1:7" x14ac:dyDescent="0.3">
      <c r="A280" s="42">
        <v>46176</v>
      </c>
      <c r="B280" s="43">
        <v>0.44866898148148149</v>
      </c>
      <c r="C280" t="s">
        <v>155</v>
      </c>
      <c r="D280" t="s">
        <v>155</v>
      </c>
      <c r="E280" t="s">
        <v>324</v>
      </c>
      <c r="F280">
        <v>-100000</v>
      </c>
      <c r="G280" t="s">
        <v>158</v>
      </c>
    </row>
    <row r="281" spans="1:7" x14ac:dyDescent="0.3">
      <c r="A281" s="42">
        <v>46176</v>
      </c>
      <c r="B281" s="43">
        <v>0.44866898148148149</v>
      </c>
      <c r="C281" t="s">
        <v>155</v>
      </c>
      <c r="D281" t="s">
        <v>163</v>
      </c>
      <c r="E281" t="s">
        <v>166</v>
      </c>
      <c r="F281">
        <v>-17100</v>
      </c>
      <c r="G281" t="s">
        <v>61</v>
      </c>
    </row>
    <row r="282" spans="1:7" x14ac:dyDescent="0.3">
      <c r="A282" s="42">
        <v>46176</v>
      </c>
      <c r="B282" s="43">
        <v>0</v>
      </c>
      <c r="C282" t="s">
        <v>152</v>
      </c>
      <c r="D282" t="s">
        <v>36</v>
      </c>
      <c r="E282" t="s">
        <v>250</v>
      </c>
      <c r="F282">
        <v>46600</v>
      </c>
      <c r="G282" t="s">
        <v>266</v>
      </c>
    </row>
    <row r="283" spans="1:7" x14ac:dyDescent="0.3">
      <c r="A283" s="42">
        <v>46175</v>
      </c>
      <c r="B283" s="43">
        <v>0.66059027777777779</v>
      </c>
      <c r="C283" t="s">
        <v>152</v>
      </c>
      <c r="D283" t="s">
        <v>36</v>
      </c>
      <c r="E283" t="s">
        <v>250</v>
      </c>
      <c r="F283">
        <v>-46400</v>
      </c>
      <c r="G283" t="s">
        <v>180</v>
      </c>
    </row>
    <row r="284" spans="1:7" x14ac:dyDescent="0.3">
      <c r="A284" s="42">
        <v>46175</v>
      </c>
      <c r="B284" s="43">
        <v>0.39368055555555548</v>
      </c>
      <c r="C284" t="s">
        <v>152</v>
      </c>
      <c r="D284" t="s">
        <v>50</v>
      </c>
      <c r="E284" t="s">
        <v>184</v>
      </c>
      <c r="F284">
        <v>-1600</v>
      </c>
      <c r="G284" t="s">
        <v>186</v>
      </c>
    </row>
    <row r="285" spans="1:7" x14ac:dyDescent="0.3">
      <c r="A285" s="42">
        <v>46174</v>
      </c>
      <c r="B285" s="43">
        <v>0.89645833333333336</v>
      </c>
      <c r="C285" t="s">
        <v>152</v>
      </c>
      <c r="D285" t="s">
        <v>40</v>
      </c>
      <c r="E285" t="s">
        <v>289</v>
      </c>
      <c r="F285">
        <v>-7500</v>
      </c>
      <c r="G285" t="s">
        <v>186</v>
      </c>
    </row>
    <row r="286" spans="1:7" x14ac:dyDescent="0.3">
      <c r="A286" s="42">
        <v>46174</v>
      </c>
      <c r="B286" s="43">
        <v>0.89209490740740738</v>
      </c>
      <c r="C286" t="s">
        <v>152</v>
      </c>
      <c r="D286" t="s">
        <v>44</v>
      </c>
      <c r="E286" t="s">
        <v>309</v>
      </c>
      <c r="F286">
        <v>-11000</v>
      </c>
      <c r="G286" t="s">
        <v>186</v>
      </c>
    </row>
    <row r="287" spans="1:7" x14ac:dyDescent="0.3">
      <c r="A287" s="42">
        <v>46174</v>
      </c>
      <c r="B287" s="43">
        <v>0.88521990740740741</v>
      </c>
      <c r="C287" t="s">
        <v>152</v>
      </c>
      <c r="D287" t="s">
        <v>50</v>
      </c>
      <c r="E287" t="s">
        <v>325</v>
      </c>
      <c r="F287">
        <v>-1450731</v>
      </c>
      <c r="G287" t="s">
        <v>61</v>
      </c>
    </row>
    <row r="288" spans="1:7" x14ac:dyDescent="0.3">
      <c r="A288" s="42">
        <v>46174</v>
      </c>
      <c r="B288" s="43">
        <v>0.8842592592592593</v>
      </c>
      <c r="C288" t="s">
        <v>155</v>
      </c>
      <c r="D288" t="s">
        <v>213</v>
      </c>
      <c r="E288" t="s">
        <v>256</v>
      </c>
      <c r="F288">
        <v>-556298</v>
      </c>
      <c r="G288" t="s">
        <v>67</v>
      </c>
    </row>
    <row r="289" spans="1:7" x14ac:dyDescent="0.3">
      <c r="A289" s="42">
        <v>46174</v>
      </c>
      <c r="B289" s="43">
        <v>0.88342592592592595</v>
      </c>
      <c r="C289" t="s">
        <v>155</v>
      </c>
      <c r="D289" t="s">
        <v>163</v>
      </c>
      <c r="E289" t="s">
        <v>7</v>
      </c>
      <c r="F289">
        <v>-3000000</v>
      </c>
      <c r="G289" t="s">
        <v>60</v>
      </c>
    </row>
    <row r="290" spans="1:7" x14ac:dyDescent="0.3">
      <c r="A290" s="42">
        <v>46174</v>
      </c>
      <c r="B290" s="43">
        <v>0.88342592592592595</v>
      </c>
      <c r="C290" t="s">
        <v>155</v>
      </c>
      <c r="D290" t="s">
        <v>163</v>
      </c>
      <c r="E290" t="s">
        <v>7</v>
      </c>
      <c r="F290">
        <v>3000000</v>
      </c>
      <c r="G290" t="s">
        <v>61</v>
      </c>
    </row>
    <row r="291" spans="1:7" x14ac:dyDescent="0.3">
      <c r="A291" s="42">
        <v>46174</v>
      </c>
      <c r="B291" s="43">
        <v>0.88290509259259264</v>
      </c>
      <c r="C291" t="s">
        <v>155</v>
      </c>
      <c r="D291" t="s">
        <v>213</v>
      </c>
      <c r="E291" t="s">
        <v>326</v>
      </c>
      <c r="F291">
        <v>-723020</v>
      </c>
      <c r="G291" t="s">
        <v>61</v>
      </c>
    </row>
    <row r="292" spans="1:7" x14ac:dyDescent="0.3">
      <c r="A292" s="42">
        <v>46174</v>
      </c>
      <c r="B292" s="43">
        <v>0.86967592592592591</v>
      </c>
      <c r="C292" t="s">
        <v>155</v>
      </c>
      <c r="D292" t="s">
        <v>71</v>
      </c>
      <c r="E292" t="s">
        <v>327</v>
      </c>
      <c r="F292">
        <v>-270000</v>
      </c>
      <c r="G292" t="s">
        <v>60</v>
      </c>
    </row>
    <row r="293" spans="1:7" x14ac:dyDescent="0.3">
      <c r="A293" s="42">
        <v>46174</v>
      </c>
      <c r="B293" s="43">
        <v>0.8139467592592593</v>
      </c>
      <c r="C293" t="s">
        <v>155</v>
      </c>
      <c r="D293" t="s">
        <v>213</v>
      </c>
      <c r="E293" t="s">
        <v>214</v>
      </c>
      <c r="F293">
        <v>-67350</v>
      </c>
      <c r="G293" t="s">
        <v>61</v>
      </c>
    </row>
    <row r="294" spans="1:7" x14ac:dyDescent="0.3">
      <c r="A294" s="42">
        <v>46174</v>
      </c>
      <c r="B294" s="43">
        <v>0.5554513888888889</v>
      </c>
      <c r="C294" t="s">
        <v>155</v>
      </c>
      <c r="D294" t="s">
        <v>155</v>
      </c>
      <c r="E294" t="s">
        <v>210</v>
      </c>
      <c r="F294">
        <v>213000</v>
      </c>
      <c r="G294" t="s">
        <v>60</v>
      </c>
    </row>
    <row r="295" spans="1:7" x14ac:dyDescent="0.3">
      <c r="A295" s="42">
        <v>46174</v>
      </c>
      <c r="B295" s="43">
        <v>0.44122685185185179</v>
      </c>
      <c r="C295" t="s">
        <v>155</v>
      </c>
      <c r="D295" t="s">
        <v>155</v>
      </c>
      <c r="E295" t="s">
        <v>219</v>
      </c>
      <c r="F295">
        <v>-300000</v>
      </c>
      <c r="G295" t="s">
        <v>60</v>
      </c>
    </row>
    <row r="296" spans="1:7" x14ac:dyDescent="0.3">
      <c r="A296" s="42">
        <v>46174</v>
      </c>
      <c r="B296" s="43">
        <v>0.43056712962962962</v>
      </c>
      <c r="C296" t="s">
        <v>152</v>
      </c>
      <c r="D296" t="s">
        <v>36</v>
      </c>
      <c r="E296" t="s">
        <v>225</v>
      </c>
      <c r="F296">
        <v>-3390</v>
      </c>
      <c r="G296" t="s">
        <v>161</v>
      </c>
    </row>
    <row r="297" spans="1:7" x14ac:dyDescent="0.3">
      <c r="A297" s="42">
        <v>46174</v>
      </c>
      <c r="B297" s="43">
        <v>0.39782407407407411</v>
      </c>
      <c r="C297" t="s">
        <v>152</v>
      </c>
      <c r="D297" t="s">
        <v>50</v>
      </c>
      <c r="E297" t="s">
        <v>184</v>
      </c>
      <c r="F297">
        <v>-1600</v>
      </c>
      <c r="G297" t="s">
        <v>186</v>
      </c>
    </row>
    <row r="298" spans="1:7" x14ac:dyDescent="0.3">
      <c r="A298" s="42">
        <v>46173</v>
      </c>
      <c r="B298" s="43">
        <v>0.70630787037037035</v>
      </c>
      <c r="C298" t="s">
        <v>152</v>
      </c>
      <c r="D298" t="s">
        <v>45</v>
      </c>
      <c r="E298" t="s">
        <v>328</v>
      </c>
      <c r="F298">
        <v>-4000</v>
      </c>
      <c r="G298" t="s">
        <v>186</v>
      </c>
    </row>
    <row r="299" spans="1:7" x14ac:dyDescent="0.3">
      <c r="A299" s="42">
        <v>46173</v>
      </c>
      <c r="B299" s="43">
        <v>0.69805555555555554</v>
      </c>
      <c r="C299" t="s">
        <v>152</v>
      </c>
      <c r="D299" t="s">
        <v>40</v>
      </c>
      <c r="E299" t="s">
        <v>329</v>
      </c>
      <c r="F299">
        <v>-7000</v>
      </c>
      <c r="G299" t="s">
        <v>186</v>
      </c>
    </row>
    <row r="300" spans="1:7" x14ac:dyDescent="0.3">
      <c r="A300" s="42">
        <v>46172</v>
      </c>
      <c r="B300" s="43">
        <v>0.75001157407407404</v>
      </c>
      <c r="C300" t="s">
        <v>152</v>
      </c>
      <c r="D300" t="s">
        <v>44</v>
      </c>
      <c r="E300" t="s">
        <v>330</v>
      </c>
      <c r="F300">
        <v>-71000</v>
      </c>
      <c r="G300" t="s">
        <v>186</v>
      </c>
    </row>
    <row r="301" spans="1:7" x14ac:dyDescent="0.3">
      <c r="A301" s="42">
        <v>46172</v>
      </c>
      <c r="B301" s="43">
        <v>0.67228009259259258</v>
      </c>
      <c r="C301" t="s">
        <v>152</v>
      </c>
      <c r="D301" t="s">
        <v>40</v>
      </c>
      <c r="E301" t="s">
        <v>331</v>
      </c>
      <c r="F301">
        <v>-12000</v>
      </c>
      <c r="G301" t="s">
        <v>186</v>
      </c>
    </row>
    <row r="302" spans="1:7" x14ac:dyDescent="0.3">
      <c r="A302" s="42">
        <v>46172</v>
      </c>
      <c r="B302" s="43">
        <v>0.59243055555555557</v>
      </c>
      <c r="C302" t="s">
        <v>152</v>
      </c>
      <c r="D302" t="s">
        <v>47</v>
      </c>
      <c r="E302" t="s">
        <v>332</v>
      </c>
      <c r="F302">
        <v>-60000</v>
      </c>
      <c r="G302" t="s">
        <v>186</v>
      </c>
    </row>
    <row r="303" spans="1:7" x14ac:dyDescent="0.3">
      <c r="A303" s="42">
        <v>46172</v>
      </c>
      <c r="B303" s="43">
        <v>0.48434027777777777</v>
      </c>
      <c r="C303" t="s">
        <v>152</v>
      </c>
      <c r="D303" t="s">
        <v>45</v>
      </c>
      <c r="E303" t="s">
        <v>333</v>
      </c>
      <c r="F303">
        <v>-83500</v>
      </c>
      <c r="G303" t="s">
        <v>266</v>
      </c>
    </row>
    <row r="304" spans="1:7" x14ac:dyDescent="0.3">
      <c r="A304" s="42">
        <v>46171</v>
      </c>
      <c r="B304" s="43">
        <v>0.61958333333333337</v>
      </c>
      <c r="C304" t="s">
        <v>152</v>
      </c>
      <c r="D304" t="s">
        <v>49</v>
      </c>
      <c r="E304" t="s">
        <v>288</v>
      </c>
      <c r="F304">
        <v>-25000</v>
      </c>
      <c r="G304" t="s">
        <v>266</v>
      </c>
    </row>
    <row r="305" spans="1:7" x14ac:dyDescent="0.3">
      <c r="A305" s="42">
        <v>46171</v>
      </c>
      <c r="B305" s="43">
        <v>0.41067129629629628</v>
      </c>
      <c r="C305" t="s">
        <v>152</v>
      </c>
      <c r="D305" t="s">
        <v>36</v>
      </c>
      <c r="E305" t="s">
        <v>243</v>
      </c>
      <c r="F305">
        <v>-1500</v>
      </c>
      <c r="G305" t="s">
        <v>161</v>
      </c>
    </row>
    <row r="306" spans="1:7" x14ac:dyDescent="0.3">
      <c r="A306" s="42">
        <v>46171</v>
      </c>
      <c r="B306" s="43">
        <v>0.41067129629629628</v>
      </c>
      <c r="C306" t="s">
        <v>152</v>
      </c>
      <c r="D306" t="s">
        <v>36</v>
      </c>
      <c r="E306" t="s">
        <v>225</v>
      </c>
      <c r="F306">
        <v>-1800</v>
      </c>
      <c r="G306" t="s">
        <v>161</v>
      </c>
    </row>
    <row r="307" spans="1:7" x14ac:dyDescent="0.3">
      <c r="A307" s="42">
        <v>46171</v>
      </c>
      <c r="B307" s="43">
        <v>0.40671296296296289</v>
      </c>
      <c r="C307" t="s">
        <v>152</v>
      </c>
      <c r="D307" t="s">
        <v>36</v>
      </c>
      <c r="E307" t="s">
        <v>334</v>
      </c>
      <c r="F307">
        <v>-200</v>
      </c>
      <c r="G307" t="s">
        <v>161</v>
      </c>
    </row>
    <row r="308" spans="1:7" x14ac:dyDescent="0.3">
      <c r="A308" s="42">
        <v>46170</v>
      </c>
      <c r="B308" s="43">
        <v>0.88898148148148148</v>
      </c>
      <c r="C308" t="s">
        <v>152</v>
      </c>
      <c r="D308" t="s">
        <v>40</v>
      </c>
      <c r="E308" t="s">
        <v>335</v>
      </c>
      <c r="F308">
        <v>-5000</v>
      </c>
      <c r="G308" t="s">
        <v>266</v>
      </c>
    </row>
    <row r="309" spans="1:7" x14ac:dyDescent="0.3">
      <c r="A309" s="42">
        <v>46170</v>
      </c>
      <c r="B309" s="43">
        <v>0.85543981481481479</v>
      </c>
      <c r="C309" t="s">
        <v>152</v>
      </c>
      <c r="D309" t="s">
        <v>43</v>
      </c>
      <c r="E309" t="s">
        <v>336</v>
      </c>
      <c r="F309">
        <v>-121000</v>
      </c>
      <c r="G309" t="s">
        <v>266</v>
      </c>
    </row>
    <row r="310" spans="1:7" x14ac:dyDescent="0.3">
      <c r="A310" s="42">
        <v>46170</v>
      </c>
      <c r="B310" s="43">
        <v>0.69704861111111116</v>
      </c>
      <c r="C310" t="s">
        <v>152</v>
      </c>
      <c r="D310" t="s">
        <v>42</v>
      </c>
      <c r="E310" t="s">
        <v>337</v>
      </c>
      <c r="F310">
        <v>-11500</v>
      </c>
      <c r="G310" t="s">
        <v>266</v>
      </c>
    </row>
    <row r="311" spans="1:7" x14ac:dyDescent="0.3">
      <c r="A311" s="42">
        <v>46170</v>
      </c>
      <c r="B311" s="43">
        <v>0.51174768518518521</v>
      </c>
      <c r="C311" t="s">
        <v>152</v>
      </c>
      <c r="D311" t="s">
        <v>36</v>
      </c>
      <c r="E311" t="s">
        <v>250</v>
      </c>
      <c r="F311">
        <v>-46600</v>
      </c>
      <c r="G311" t="s">
        <v>266</v>
      </c>
    </row>
    <row r="312" spans="1:7" x14ac:dyDescent="0.3">
      <c r="A312" s="42">
        <v>46169</v>
      </c>
      <c r="B312" s="43">
        <v>0.65020833333333339</v>
      </c>
      <c r="C312" t="s">
        <v>152</v>
      </c>
      <c r="D312" t="s">
        <v>49</v>
      </c>
      <c r="E312" t="s">
        <v>338</v>
      </c>
      <c r="F312">
        <v>-3710</v>
      </c>
      <c r="G312" t="s">
        <v>154</v>
      </c>
    </row>
    <row r="313" spans="1:7" x14ac:dyDescent="0.3">
      <c r="A313" s="42">
        <v>46169</v>
      </c>
      <c r="B313" s="43">
        <v>0.53019675925925924</v>
      </c>
      <c r="C313" t="s">
        <v>152</v>
      </c>
      <c r="D313" t="s">
        <v>37</v>
      </c>
      <c r="E313" t="s">
        <v>165</v>
      </c>
      <c r="F313">
        <v>-17100</v>
      </c>
      <c r="G313" t="s">
        <v>158</v>
      </c>
    </row>
    <row r="314" spans="1:7" x14ac:dyDescent="0.3">
      <c r="A314" s="42">
        <v>46169</v>
      </c>
      <c r="B314" s="43">
        <v>0.50050925925925926</v>
      </c>
      <c r="C314" t="s">
        <v>152</v>
      </c>
      <c r="D314" t="s">
        <v>49</v>
      </c>
      <c r="E314" t="s">
        <v>339</v>
      </c>
      <c r="F314">
        <v>-6300</v>
      </c>
      <c r="G314" t="s">
        <v>266</v>
      </c>
    </row>
    <row r="315" spans="1:7" x14ac:dyDescent="0.3">
      <c r="A315" s="42">
        <v>46169</v>
      </c>
      <c r="B315" s="43">
        <v>0.36515046296296289</v>
      </c>
      <c r="C315" t="s">
        <v>152</v>
      </c>
      <c r="D315" t="s">
        <v>49</v>
      </c>
      <c r="E315" t="s">
        <v>340</v>
      </c>
      <c r="F315">
        <v>-4000</v>
      </c>
      <c r="G315" t="s">
        <v>266</v>
      </c>
    </row>
    <row r="316" spans="1:7" x14ac:dyDescent="0.3">
      <c r="A316" s="42">
        <v>46168</v>
      </c>
      <c r="B316" s="43">
        <v>0.87446759259259255</v>
      </c>
      <c r="C316" t="s">
        <v>152</v>
      </c>
      <c r="D316" t="s">
        <v>47</v>
      </c>
      <c r="E316" t="s">
        <v>341</v>
      </c>
      <c r="F316">
        <v>-50000</v>
      </c>
      <c r="G316" t="s">
        <v>61</v>
      </c>
    </row>
    <row r="317" spans="1:7" x14ac:dyDescent="0.3">
      <c r="A317" s="42">
        <v>46168</v>
      </c>
      <c r="B317" s="43">
        <v>0.86326388888888894</v>
      </c>
      <c r="C317" t="s">
        <v>152</v>
      </c>
      <c r="D317" t="s">
        <v>37</v>
      </c>
      <c r="E317" t="s">
        <v>342</v>
      </c>
      <c r="F317">
        <v>-16900</v>
      </c>
      <c r="G317" t="s">
        <v>60</v>
      </c>
    </row>
    <row r="318" spans="1:7" x14ac:dyDescent="0.3">
      <c r="A318" s="42">
        <v>46168</v>
      </c>
      <c r="B318" s="43">
        <v>0.85767361111111107</v>
      </c>
      <c r="C318" t="s">
        <v>152</v>
      </c>
      <c r="D318" t="s">
        <v>37</v>
      </c>
      <c r="E318" t="s">
        <v>343</v>
      </c>
      <c r="F318">
        <v>-20000</v>
      </c>
      <c r="G318" t="s">
        <v>61</v>
      </c>
    </row>
    <row r="319" spans="1:7" x14ac:dyDescent="0.3">
      <c r="A319" s="42">
        <v>46168</v>
      </c>
      <c r="B319" s="43">
        <v>0.85682870370370368</v>
      </c>
      <c r="C319" t="s">
        <v>152</v>
      </c>
      <c r="D319" t="s">
        <v>37</v>
      </c>
      <c r="E319" t="s">
        <v>344</v>
      </c>
      <c r="F319">
        <v>-14261</v>
      </c>
      <c r="G319" t="s">
        <v>61</v>
      </c>
    </row>
    <row r="320" spans="1:7" x14ac:dyDescent="0.3">
      <c r="A320" s="42">
        <v>46168</v>
      </c>
      <c r="B320" s="43">
        <v>0.81049768518518517</v>
      </c>
      <c r="C320" t="s">
        <v>152</v>
      </c>
      <c r="D320" t="s">
        <v>37</v>
      </c>
      <c r="E320" t="s">
        <v>345</v>
      </c>
      <c r="F320">
        <v>-153178</v>
      </c>
      <c r="G320" t="s">
        <v>60</v>
      </c>
    </row>
    <row r="321" spans="1:7" x14ac:dyDescent="0.3">
      <c r="A321" s="42">
        <v>46168</v>
      </c>
      <c r="B321" s="43">
        <v>0.80906250000000002</v>
      </c>
      <c r="C321" t="s">
        <v>152</v>
      </c>
      <c r="D321" t="s">
        <v>40</v>
      </c>
      <c r="E321" t="s">
        <v>346</v>
      </c>
      <c r="F321">
        <v>-258304</v>
      </c>
      <c r="G321" t="s">
        <v>61</v>
      </c>
    </row>
    <row r="322" spans="1:7" x14ac:dyDescent="0.3">
      <c r="A322" s="42">
        <v>46168</v>
      </c>
      <c r="B322" s="43">
        <v>0.79474537037037041</v>
      </c>
      <c r="C322" t="s">
        <v>155</v>
      </c>
      <c r="D322" t="s">
        <v>155</v>
      </c>
      <c r="E322" t="s">
        <v>347</v>
      </c>
      <c r="F322">
        <v>-250000</v>
      </c>
      <c r="G322" t="s">
        <v>60</v>
      </c>
    </row>
    <row r="323" spans="1:7" x14ac:dyDescent="0.3">
      <c r="A323" s="42">
        <v>46168</v>
      </c>
      <c r="B323" s="43">
        <v>0.79266203703703708</v>
      </c>
      <c r="C323" t="s">
        <v>152</v>
      </c>
      <c r="D323" t="s">
        <v>37</v>
      </c>
      <c r="E323" t="s">
        <v>256</v>
      </c>
      <c r="F323">
        <v>-449822</v>
      </c>
      <c r="G323" t="s">
        <v>67</v>
      </c>
    </row>
    <row r="324" spans="1:7" x14ac:dyDescent="0.3">
      <c r="A324" s="42">
        <v>46168</v>
      </c>
      <c r="B324" s="43">
        <v>0.4337037037037037</v>
      </c>
      <c r="C324" t="s">
        <v>152</v>
      </c>
      <c r="D324" t="s">
        <v>50</v>
      </c>
      <c r="E324" t="s">
        <v>184</v>
      </c>
      <c r="F324">
        <v>-3200</v>
      </c>
      <c r="G324" t="s">
        <v>266</v>
      </c>
    </row>
    <row r="325" spans="1:7" x14ac:dyDescent="0.3">
      <c r="A325" s="42">
        <v>46167</v>
      </c>
      <c r="B325" s="43">
        <v>0.79828703703703707</v>
      </c>
      <c r="C325" t="s">
        <v>152</v>
      </c>
      <c r="D325" t="s">
        <v>50</v>
      </c>
      <c r="E325" t="s">
        <v>230</v>
      </c>
      <c r="F325">
        <v>-2600</v>
      </c>
      <c r="G325" t="s">
        <v>266</v>
      </c>
    </row>
    <row r="326" spans="1:7" x14ac:dyDescent="0.3">
      <c r="A326" s="42">
        <v>46167</v>
      </c>
      <c r="B326" s="43">
        <v>0.79366898148148146</v>
      </c>
      <c r="C326" t="s">
        <v>152</v>
      </c>
      <c r="D326" t="s">
        <v>38</v>
      </c>
      <c r="E326" t="s">
        <v>348</v>
      </c>
      <c r="F326">
        <v>-12000</v>
      </c>
      <c r="G326" t="s">
        <v>266</v>
      </c>
    </row>
    <row r="327" spans="1:7" x14ac:dyDescent="0.3">
      <c r="A327" s="42">
        <v>46167</v>
      </c>
      <c r="B327" s="43">
        <v>0.68284722222222227</v>
      </c>
      <c r="C327" t="s">
        <v>152</v>
      </c>
      <c r="D327" t="s">
        <v>44</v>
      </c>
      <c r="E327" t="s">
        <v>349</v>
      </c>
      <c r="F327">
        <v>-1000</v>
      </c>
      <c r="G327" t="s">
        <v>154</v>
      </c>
    </row>
    <row r="328" spans="1:7" x14ac:dyDescent="0.3">
      <c r="A328" s="42">
        <v>46167</v>
      </c>
      <c r="B328" s="43">
        <v>0.68277777777777782</v>
      </c>
      <c r="C328" t="s">
        <v>152</v>
      </c>
      <c r="D328" t="s">
        <v>43</v>
      </c>
      <c r="E328" t="s">
        <v>350</v>
      </c>
      <c r="F328">
        <v>-123000</v>
      </c>
      <c r="G328" t="s">
        <v>154</v>
      </c>
    </row>
    <row r="329" spans="1:7" x14ac:dyDescent="0.3">
      <c r="A329" s="42">
        <v>46167</v>
      </c>
      <c r="B329" s="43">
        <v>0.68048611111111112</v>
      </c>
      <c r="C329" t="s">
        <v>152</v>
      </c>
      <c r="D329" t="s">
        <v>44</v>
      </c>
      <c r="E329" t="s">
        <v>349</v>
      </c>
      <c r="F329">
        <v>-1000</v>
      </c>
      <c r="G329" t="s">
        <v>154</v>
      </c>
    </row>
    <row r="330" spans="1:7" x14ac:dyDescent="0.3">
      <c r="A330" s="42">
        <v>46167</v>
      </c>
      <c r="B330" s="43">
        <v>0.68046296296296294</v>
      </c>
      <c r="C330" t="s">
        <v>152</v>
      </c>
      <c r="D330" t="s">
        <v>43</v>
      </c>
      <c r="E330" t="s">
        <v>351</v>
      </c>
      <c r="F330">
        <v>-98100</v>
      </c>
      <c r="G330" t="s">
        <v>154</v>
      </c>
    </row>
    <row r="331" spans="1:7" x14ac:dyDescent="0.3">
      <c r="A331" s="42">
        <v>46167</v>
      </c>
      <c r="B331" s="43">
        <v>0.48959490740740741</v>
      </c>
      <c r="C331" t="s">
        <v>155</v>
      </c>
      <c r="D331" t="s">
        <v>163</v>
      </c>
      <c r="E331" t="s">
        <v>223</v>
      </c>
      <c r="F331">
        <v>173</v>
      </c>
      <c r="G331" t="s">
        <v>68</v>
      </c>
    </row>
    <row r="332" spans="1:7" x14ac:dyDescent="0.3">
      <c r="A332" s="42">
        <v>46167</v>
      </c>
      <c r="B332" s="43">
        <v>0.48959490740740741</v>
      </c>
      <c r="C332" t="s">
        <v>155</v>
      </c>
      <c r="D332" t="s">
        <v>163</v>
      </c>
      <c r="E332" t="s">
        <v>68</v>
      </c>
      <c r="F332">
        <v>-173</v>
      </c>
      <c r="G332" t="s">
        <v>67</v>
      </c>
    </row>
    <row r="333" spans="1:7" x14ac:dyDescent="0.3">
      <c r="A333" s="42">
        <v>46167</v>
      </c>
      <c r="B333" s="43">
        <v>0.41379629629629627</v>
      </c>
      <c r="C333" t="s">
        <v>152</v>
      </c>
      <c r="D333" t="s">
        <v>36</v>
      </c>
      <c r="E333" t="s">
        <v>243</v>
      </c>
      <c r="F333">
        <v>-1500</v>
      </c>
      <c r="G333" t="s">
        <v>161</v>
      </c>
    </row>
    <row r="334" spans="1:7" x14ac:dyDescent="0.3">
      <c r="A334" s="42">
        <v>46167</v>
      </c>
      <c r="B334" s="43">
        <v>0.41379629629629627</v>
      </c>
      <c r="C334" t="s">
        <v>152</v>
      </c>
      <c r="D334" t="s">
        <v>36</v>
      </c>
      <c r="E334" t="s">
        <v>244</v>
      </c>
      <c r="F334">
        <v>-1900</v>
      </c>
      <c r="G334" t="s">
        <v>161</v>
      </c>
    </row>
    <row r="335" spans="1:7" x14ac:dyDescent="0.3">
      <c r="A335" s="42">
        <v>46166</v>
      </c>
      <c r="B335" s="43">
        <v>0.89526620370370369</v>
      </c>
      <c r="C335" t="s">
        <v>152</v>
      </c>
      <c r="D335" t="s">
        <v>50</v>
      </c>
      <c r="E335" t="s">
        <v>352</v>
      </c>
      <c r="F335">
        <v>-94410</v>
      </c>
      <c r="G335" t="s">
        <v>266</v>
      </c>
    </row>
    <row r="336" spans="1:7" x14ac:dyDescent="0.3">
      <c r="A336" s="42">
        <v>46166</v>
      </c>
      <c r="B336" s="43">
        <v>0.8359375</v>
      </c>
      <c r="C336" t="s">
        <v>152</v>
      </c>
      <c r="D336" t="s">
        <v>50</v>
      </c>
      <c r="E336" t="s">
        <v>353</v>
      </c>
      <c r="F336">
        <v>-11700</v>
      </c>
      <c r="G336" t="s">
        <v>266</v>
      </c>
    </row>
    <row r="337" spans="1:7" x14ac:dyDescent="0.3">
      <c r="A337" s="42">
        <v>46166</v>
      </c>
      <c r="B337" s="43">
        <v>0.82828703703703699</v>
      </c>
      <c r="C337" t="s">
        <v>152</v>
      </c>
      <c r="D337" t="s">
        <v>50</v>
      </c>
      <c r="E337" t="s">
        <v>352</v>
      </c>
      <c r="F337">
        <v>-98800</v>
      </c>
      <c r="G337" t="s">
        <v>266</v>
      </c>
    </row>
    <row r="338" spans="1:7" x14ac:dyDescent="0.3">
      <c r="A338" s="42">
        <v>46166</v>
      </c>
      <c r="B338" s="43">
        <v>0.79833333333333334</v>
      </c>
      <c r="C338" t="s">
        <v>152</v>
      </c>
      <c r="D338" t="s">
        <v>50</v>
      </c>
      <c r="E338" t="s">
        <v>354</v>
      </c>
      <c r="F338">
        <v>-3000</v>
      </c>
      <c r="G338" t="s">
        <v>266</v>
      </c>
    </row>
    <row r="339" spans="1:7" x14ac:dyDescent="0.3">
      <c r="A339" s="42">
        <v>46166</v>
      </c>
      <c r="B339" s="43">
        <v>0.70729166666666665</v>
      </c>
      <c r="C339" t="s">
        <v>152</v>
      </c>
      <c r="D339" t="s">
        <v>47</v>
      </c>
      <c r="E339" t="s">
        <v>355</v>
      </c>
      <c r="F339">
        <v>-1000</v>
      </c>
      <c r="G339" t="s">
        <v>266</v>
      </c>
    </row>
    <row r="340" spans="1:7" x14ac:dyDescent="0.3">
      <c r="A340" s="42">
        <v>46166</v>
      </c>
      <c r="B340" s="43">
        <v>0.42719907407407409</v>
      </c>
      <c r="C340" t="s">
        <v>152</v>
      </c>
      <c r="D340" t="s">
        <v>47</v>
      </c>
      <c r="E340" t="s">
        <v>356</v>
      </c>
      <c r="F340">
        <v>-60000</v>
      </c>
      <c r="G340" t="s">
        <v>266</v>
      </c>
    </row>
    <row r="341" spans="1:7" x14ac:dyDescent="0.3">
      <c r="A341" s="42">
        <v>46166</v>
      </c>
      <c r="B341" s="43">
        <v>0.41069444444444442</v>
      </c>
      <c r="C341" t="s">
        <v>152</v>
      </c>
      <c r="D341" t="s">
        <v>36</v>
      </c>
      <c r="E341" t="s">
        <v>243</v>
      </c>
      <c r="F341">
        <v>-1500</v>
      </c>
      <c r="G341" t="s">
        <v>161</v>
      </c>
    </row>
    <row r="342" spans="1:7" x14ac:dyDescent="0.3">
      <c r="A342" s="42">
        <v>46166</v>
      </c>
      <c r="B342" s="43">
        <v>0.41069444444444442</v>
      </c>
      <c r="C342" t="s">
        <v>152</v>
      </c>
      <c r="D342" t="s">
        <v>36</v>
      </c>
      <c r="E342" t="s">
        <v>244</v>
      </c>
      <c r="F342">
        <v>-1900</v>
      </c>
      <c r="G342" t="s">
        <v>161</v>
      </c>
    </row>
    <row r="343" spans="1:7" x14ac:dyDescent="0.3">
      <c r="A343" s="42">
        <v>46165</v>
      </c>
      <c r="B343" s="43">
        <v>0.56030092592592595</v>
      </c>
      <c r="C343" t="s">
        <v>152</v>
      </c>
      <c r="D343" t="s">
        <v>39</v>
      </c>
      <c r="E343" t="s">
        <v>357</v>
      </c>
      <c r="F343">
        <v>-5000</v>
      </c>
      <c r="G343" t="s">
        <v>266</v>
      </c>
    </row>
    <row r="344" spans="1:7" x14ac:dyDescent="0.3">
      <c r="A344" s="42">
        <v>46165</v>
      </c>
      <c r="B344" s="43">
        <v>0.520625</v>
      </c>
      <c r="C344" t="s">
        <v>152</v>
      </c>
      <c r="D344" t="s">
        <v>38</v>
      </c>
      <c r="E344" t="s">
        <v>358</v>
      </c>
      <c r="F344">
        <v>-60000</v>
      </c>
      <c r="G344" t="s">
        <v>154</v>
      </c>
    </row>
    <row r="345" spans="1:7" x14ac:dyDescent="0.3">
      <c r="A345" s="42">
        <v>46165</v>
      </c>
      <c r="B345" s="43">
        <v>0.44885416666666672</v>
      </c>
      <c r="C345" t="s">
        <v>152</v>
      </c>
      <c r="D345" t="s">
        <v>39</v>
      </c>
      <c r="E345" t="s">
        <v>359</v>
      </c>
      <c r="F345">
        <v>-16500</v>
      </c>
      <c r="G345" t="s">
        <v>154</v>
      </c>
    </row>
    <row r="346" spans="1:7" x14ac:dyDescent="0.3">
      <c r="A346" s="42">
        <v>46165</v>
      </c>
      <c r="B346" s="43">
        <v>0.42527777777777781</v>
      </c>
      <c r="C346" t="s">
        <v>152</v>
      </c>
      <c r="D346" t="s">
        <v>38</v>
      </c>
      <c r="E346" t="s">
        <v>360</v>
      </c>
      <c r="F346">
        <v>-2000</v>
      </c>
      <c r="G346" t="s">
        <v>186</v>
      </c>
    </row>
    <row r="347" spans="1:7" x14ac:dyDescent="0.3">
      <c r="A347" s="42">
        <v>46165</v>
      </c>
      <c r="B347" s="43">
        <v>0.41452546296296289</v>
      </c>
      <c r="C347" t="s">
        <v>152</v>
      </c>
      <c r="D347" t="s">
        <v>36</v>
      </c>
      <c r="E347" t="s">
        <v>243</v>
      </c>
      <c r="F347">
        <v>-1500</v>
      </c>
      <c r="G347" t="s">
        <v>161</v>
      </c>
    </row>
    <row r="348" spans="1:7" x14ac:dyDescent="0.3">
      <c r="A348" s="42">
        <v>46165</v>
      </c>
      <c r="B348" s="43">
        <v>0.41452546296296289</v>
      </c>
      <c r="C348" t="s">
        <v>152</v>
      </c>
      <c r="D348" t="s">
        <v>36</v>
      </c>
      <c r="E348" t="s">
        <v>244</v>
      </c>
      <c r="F348">
        <v>-2000</v>
      </c>
      <c r="G348" t="s">
        <v>161</v>
      </c>
    </row>
    <row r="349" spans="1:7" x14ac:dyDescent="0.3">
      <c r="A349" s="42">
        <v>46165</v>
      </c>
      <c r="B349" s="43">
        <v>0.34614583333333332</v>
      </c>
      <c r="C349" t="s">
        <v>152</v>
      </c>
      <c r="D349" t="s">
        <v>40</v>
      </c>
      <c r="E349" t="s">
        <v>361</v>
      </c>
      <c r="F349">
        <v>-11710</v>
      </c>
      <c r="G349" t="s">
        <v>186</v>
      </c>
    </row>
    <row r="350" spans="1:7" x14ac:dyDescent="0.3">
      <c r="A350" s="42">
        <v>46165</v>
      </c>
      <c r="B350" s="43">
        <v>0.1819907407407407</v>
      </c>
      <c r="C350" t="s">
        <v>176</v>
      </c>
      <c r="D350" t="s">
        <v>28</v>
      </c>
      <c r="E350" t="s">
        <v>240</v>
      </c>
      <c r="F350">
        <v>7</v>
      </c>
      <c r="G350" t="s">
        <v>67</v>
      </c>
    </row>
    <row r="351" spans="1:7" x14ac:dyDescent="0.3">
      <c r="A351" s="42">
        <v>46165</v>
      </c>
      <c r="B351" s="43">
        <v>0.17650462962962959</v>
      </c>
      <c r="C351" t="s">
        <v>176</v>
      </c>
      <c r="D351" t="s">
        <v>28</v>
      </c>
      <c r="E351" t="s">
        <v>240</v>
      </c>
      <c r="F351">
        <v>2320</v>
      </c>
      <c r="G351" t="s">
        <v>67</v>
      </c>
    </row>
    <row r="352" spans="1:7" x14ac:dyDescent="0.3">
      <c r="A352" s="42">
        <v>46165</v>
      </c>
      <c r="B352" s="43">
        <v>0.1672916666666667</v>
      </c>
      <c r="C352" t="s">
        <v>176</v>
      </c>
      <c r="D352" t="s">
        <v>28</v>
      </c>
      <c r="E352" t="s">
        <v>241</v>
      </c>
      <c r="F352">
        <v>0</v>
      </c>
      <c r="G352" t="s">
        <v>63</v>
      </c>
    </row>
    <row r="353" spans="1:7" x14ac:dyDescent="0.3">
      <c r="A353" s="42">
        <v>46165</v>
      </c>
      <c r="B353" s="43">
        <v>8.8657407407407407E-2</v>
      </c>
      <c r="C353" t="s">
        <v>155</v>
      </c>
      <c r="D353" t="s">
        <v>217</v>
      </c>
      <c r="E353" t="s">
        <v>242</v>
      </c>
      <c r="F353">
        <v>112</v>
      </c>
      <c r="G353" t="s">
        <v>68</v>
      </c>
    </row>
    <row r="354" spans="1:7" x14ac:dyDescent="0.3">
      <c r="A354" s="42">
        <v>46164</v>
      </c>
      <c r="B354" s="43">
        <v>0.85730324074074071</v>
      </c>
      <c r="C354" t="s">
        <v>152</v>
      </c>
      <c r="D354" t="s">
        <v>42</v>
      </c>
      <c r="E354" t="s">
        <v>362</v>
      </c>
      <c r="F354">
        <v>-130850</v>
      </c>
      <c r="G354" t="s">
        <v>186</v>
      </c>
    </row>
    <row r="355" spans="1:7" x14ac:dyDescent="0.3">
      <c r="A355" s="42">
        <v>46164</v>
      </c>
      <c r="B355" s="43">
        <v>0.76454861111111116</v>
      </c>
      <c r="C355" t="s">
        <v>152</v>
      </c>
      <c r="D355" t="s">
        <v>45</v>
      </c>
      <c r="E355" t="s">
        <v>363</v>
      </c>
      <c r="F355">
        <v>-4500</v>
      </c>
      <c r="G355" t="s">
        <v>186</v>
      </c>
    </row>
    <row r="356" spans="1:7" x14ac:dyDescent="0.3">
      <c r="A356" s="42">
        <v>46164</v>
      </c>
      <c r="B356" s="43">
        <v>0.76211805555555556</v>
      </c>
      <c r="C356" t="s">
        <v>152</v>
      </c>
      <c r="D356" t="s">
        <v>45</v>
      </c>
      <c r="E356" t="s">
        <v>364</v>
      </c>
      <c r="F356">
        <v>-5800</v>
      </c>
      <c r="G356" t="s">
        <v>186</v>
      </c>
    </row>
    <row r="357" spans="1:7" x14ac:dyDescent="0.3">
      <c r="A357" s="42">
        <v>46164</v>
      </c>
      <c r="B357" s="43">
        <v>0.47608796296296302</v>
      </c>
      <c r="C357" t="s">
        <v>176</v>
      </c>
      <c r="D357" t="s">
        <v>28</v>
      </c>
      <c r="E357" t="s">
        <v>178</v>
      </c>
      <c r="F357">
        <v>36690</v>
      </c>
      <c r="G357" t="s">
        <v>61</v>
      </c>
    </row>
    <row r="358" spans="1:7" x14ac:dyDescent="0.3">
      <c r="A358" s="42">
        <v>46164</v>
      </c>
      <c r="B358" s="43">
        <v>0.41121527777777778</v>
      </c>
      <c r="C358" t="s">
        <v>152</v>
      </c>
      <c r="D358" t="s">
        <v>36</v>
      </c>
      <c r="E358" t="s">
        <v>226</v>
      </c>
      <c r="F358">
        <v>-3000</v>
      </c>
      <c r="G358" t="s">
        <v>161</v>
      </c>
    </row>
    <row r="359" spans="1:7" x14ac:dyDescent="0.3">
      <c r="A359" s="42">
        <v>46164</v>
      </c>
      <c r="B359" s="43">
        <v>0.41121527777777778</v>
      </c>
      <c r="C359" t="s">
        <v>152</v>
      </c>
      <c r="D359" t="s">
        <v>36</v>
      </c>
      <c r="E359" t="s">
        <v>365</v>
      </c>
      <c r="F359">
        <v>-4000</v>
      </c>
      <c r="G359" t="s">
        <v>161</v>
      </c>
    </row>
    <row r="360" spans="1:7" x14ac:dyDescent="0.3">
      <c r="A360" s="42">
        <v>46164</v>
      </c>
      <c r="B360" s="43">
        <v>0.39880787037037041</v>
      </c>
      <c r="C360" t="s">
        <v>152</v>
      </c>
      <c r="D360" t="s">
        <v>50</v>
      </c>
      <c r="E360" t="s">
        <v>184</v>
      </c>
      <c r="F360">
        <v>-1600</v>
      </c>
      <c r="G360" t="s">
        <v>186</v>
      </c>
    </row>
    <row r="361" spans="1:7" x14ac:dyDescent="0.3">
      <c r="A361" s="42">
        <v>46164</v>
      </c>
      <c r="B361" s="43">
        <v>0.35716435185185191</v>
      </c>
      <c r="C361" t="s">
        <v>152</v>
      </c>
      <c r="D361" t="s">
        <v>37</v>
      </c>
      <c r="E361" t="s">
        <v>366</v>
      </c>
      <c r="F361">
        <v>-148095</v>
      </c>
      <c r="G361" t="s">
        <v>67</v>
      </c>
    </row>
    <row r="362" spans="1:7" x14ac:dyDescent="0.3">
      <c r="A362" s="42">
        <v>46164</v>
      </c>
      <c r="B362" s="43">
        <v>0.35658564814814808</v>
      </c>
      <c r="C362" t="s">
        <v>155</v>
      </c>
      <c r="D362" t="s">
        <v>163</v>
      </c>
      <c r="E362" t="s">
        <v>7</v>
      </c>
      <c r="F362">
        <v>-250000</v>
      </c>
      <c r="G362" t="s">
        <v>67</v>
      </c>
    </row>
    <row r="363" spans="1:7" x14ac:dyDescent="0.3">
      <c r="A363" s="42">
        <v>46164</v>
      </c>
      <c r="B363" s="43">
        <v>0.35658564814814808</v>
      </c>
      <c r="C363" t="s">
        <v>155</v>
      </c>
      <c r="D363" t="s">
        <v>163</v>
      </c>
      <c r="E363" t="s">
        <v>7</v>
      </c>
      <c r="F363">
        <v>250000</v>
      </c>
      <c r="G363" t="s">
        <v>67</v>
      </c>
    </row>
    <row r="364" spans="1:7" x14ac:dyDescent="0.3">
      <c r="A364" s="42">
        <v>46164</v>
      </c>
      <c r="B364" s="43">
        <v>0.35584490740740737</v>
      </c>
      <c r="C364" t="s">
        <v>152</v>
      </c>
      <c r="D364" t="s">
        <v>37</v>
      </c>
      <c r="E364" t="s">
        <v>366</v>
      </c>
      <c r="F364">
        <v>-85739</v>
      </c>
      <c r="G364" t="s">
        <v>67</v>
      </c>
    </row>
    <row r="365" spans="1:7" x14ac:dyDescent="0.3">
      <c r="A365" s="42">
        <v>46164</v>
      </c>
      <c r="B365" s="43">
        <v>5.5648148148148148E-2</v>
      </c>
      <c r="C365" t="s">
        <v>176</v>
      </c>
      <c r="D365" t="s">
        <v>29</v>
      </c>
      <c r="E365" t="s">
        <v>249</v>
      </c>
      <c r="F365">
        <v>100000</v>
      </c>
      <c r="G365" t="s">
        <v>64</v>
      </c>
    </row>
    <row r="366" spans="1:7" x14ac:dyDescent="0.3">
      <c r="A366" s="42">
        <v>46164</v>
      </c>
      <c r="B366" s="43">
        <v>4.2372685185185187E-2</v>
      </c>
      <c r="C366" t="s">
        <v>152</v>
      </c>
      <c r="D366" t="s">
        <v>48</v>
      </c>
      <c r="E366" t="s">
        <v>251</v>
      </c>
      <c r="F366">
        <v>-300</v>
      </c>
      <c r="G366" t="s">
        <v>154</v>
      </c>
    </row>
    <row r="367" spans="1:7" x14ac:dyDescent="0.3">
      <c r="A367" s="42">
        <v>46163</v>
      </c>
      <c r="B367" s="43">
        <v>0.45777777777777778</v>
      </c>
      <c r="C367" t="s">
        <v>152</v>
      </c>
      <c r="D367" t="s">
        <v>44</v>
      </c>
      <c r="E367" t="s">
        <v>265</v>
      </c>
      <c r="F367">
        <v>-7890</v>
      </c>
      <c r="G367" t="s">
        <v>266</v>
      </c>
    </row>
    <row r="368" spans="1:7" x14ac:dyDescent="0.3">
      <c r="A368" s="42">
        <v>46163</v>
      </c>
      <c r="B368" s="43">
        <v>0.39817129629629627</v>
      </c>
      <c r="C368" t="s">
        <v>152</v>
      </c>
      <c r="D368" t="s">
        <v>49</v>
      </c>
      <c r="E368" t="s">
        <v>367</v>
      </c>
      <c r="F368">
        <v>-300</v>
      </c>
      <c r="G368" t="s">
        <v>186</v>
      </c>
    </row>
    <row r="369" spans="1:7" x14ac:dyDescent="0.3">
      <c r="A369" s="42">
        <v>46163</v>
      </c>
      <c r="B369" s="43">
        <v>0.3334375</v>
      </c>
      <c r="C369" t="s">
        <v>176</v>
      </c>
      <c r="D369" t="s">
        <v>29</v>
      </c>
      <c r="E369" t="s">
        <v>29</v>
      </c>
      <c r="F369">
        <v>4924260</v>
      </c>
      <c r="G369" t="s">
        <v>60</v>
      </c>
    </row>
    <row r="370" spans="1:7" x14ac:dyDescent="0.3">
      <c r="A370" s="42">
        <v>46162</v>
      </c>
      <c r="B370" s="43">
        <v>0.61266203703703703</v>
      </c>
      <c r="C370" t="s">
        <v>155</v>
      </c>
      <c r="D370" t="s">
        <v>155</v>
      </c>
      <c r="E370" t="s">
        <v>277</v>
      </c>
      <c r="F370">
        <v>3787800</v>
      </c>
      <c r="G370" t="s">
        <v>67</v>
      </c>
    </row>
    <row r="371" spans="1:7" x14ac:dyDescent="0.3">
      <c r="A371" s="42">
        <v>46161</v>
      </c>
      <c r="B371" s="43">
        <v>0.72146990740740746</v>
      </c>
      <c r="C371" t="s">
        <v>152</v>
      </c>
      <c r="D371" t="s">
        <v>42</v>
      </c>
      <c r="E371" t="s">
        <v>181</v>
      </c>
      <c r="F371">
        <v>-26300</v>
      </c>
      <c r="G371" t="s">
        <v>182</v>
      </c>
    </row>
    <row r="372" spans="1:7" x14ac:dyDescent="0.3">
      <c r="A372" s="42">
        <v>46161</v>
      </c>
      <c r="B372" s="43">
        <v>0.39929398148148149</v>
      </c>
      <c r="C372" t="s">
        <v>152</v>
      </c>
      <c r="D372" t="s">
        <v>49</v>
      </c>
      <c r="E372" t="s">
        <v>368</v>
      </c>
      <c r="F372">
        <v>-300</v>
      </c>
      <c r="G372" t="s">
        <v>154</v>
      </c>
    </row>
    <row r="373" spans="1:7" x14ac:dyDescent="0.3">
      <c r="A373" s="42">
        <v>46160</v>
      </c>
      <c r="B373" s="43">
        <v>0.51740740740740743</v>
      </c>
      <c r="C373" t="s">
        <v>152</v>
      </c>
      <c r="D373" t="s">
        <v>44</v>
      </c>
      <c r="E373" t="s">
        <v>369</v>
      </c>
      <c r="F373">
        <v>-7511</v>
      </c>
      <c r="G373" t="s">
        <v>199</v>
      </c>
    </row>
    <row r="374" spans="1:7" x14ac:dyDescent="0.3">
      <c r="A374" s="42">
        <v>46160</v>
      </c>
      <c r="B374" s="43">
        <v>0.51740740740740743</v>
      </c>
      <c r="C374" t="s">
        <v>152</v>
      </c>
      <c r="D374" t="s">
        <v>44</v>
      </c>
      <c r="E374" t="s">
        <v>369</v>
      </c>
      <c r="F374">
        <v>-21499</v>
      </c>
      <c r="G374" t="s">
        <v>182</v>
      </c>
    </row>
    <row r="375" spans="1:7" x14ac:dyDescent="0.3">
      <c r="A375" s="42">
        <v>46160</v>
      </c>
      <c r="B375" s="43">
        <v>0.41184027777777782</v>
      </c>
      <c r="C375" t="s">
        <v>152</v>
      </c>
      <c r="D375" t="s">
        <v>36</v>
      </c>
      <c r="E375" t="s">
        <v>243</v>
      </c>
      <c r="F375">
        <v>-1500</v>
      </c>
      <c r="G375" t="s">
        <v>161</v>
      </c>
    </row>
    <row r="376" spans="1:7" x14ac:dyDescent="0.3">
      <c r="A376" s="42">
        <v>46160</v>
      </c>
      <c r="B376" s="43">
        <v>0.41182870370370372</v>
      </c>
      <c r="C376" t="s">
        <v>152</v>
      </c>
      <c r="D376" t="s">
        <v>36</v>
      </c>
      <c r="E376" t="s">
        <v>244</v>
      </c>
      <c r="F376">
        <v>-2000</v>
      </c>
      <c r="G376" t="s">
        <v>161</v>
      </c>
    </row>
    <row r="377" spans="1:7" x14ac:dyDescent="0.3">
      <c r="A377" s="42">
        <v>46160</v>
      </c>
      <c r="B377" s="43">
        <v>0.40511574074074069</v>
      </c>
      <c r="C377" t="s">
        <v>152</v>
      </c>
      <c r="D377" t="s">
        <v>44</v>
      </c>
      <c r="E377" t="s">
        <v>370</v>
      </c>
      <c r="F377">
        <v>-133820</v>
      </c>
      <c r="G377" t="s">
        <v>182</v>
      </c>
    </row>
    <row r="378" spans="1:7" x14ac:dyDescent="0.3">
      <c r="A378" s="42">
        <v>46160</v>
      </c>
      <c r="B378" s="43">
        <v>0.39927083333333341</v>
      </c>
      <c r="C378" t="s">
        <v>152</v>
      </c>
      <c r="D378" t="s">
        <v>50</v>
      </c>
      <c r="E378" t="s">
        <v>184</v>
      </c>
      <c r="F378">
        <v>-1600</v>
      </c>
      <c r="G378" t="s">
        <v>154</v>
      </c>
    </row>
    <row r="379" spans="1:7" x14ac:dyDescent="0.3">
      <c r="A379" s="42">
        <v>46160</v>
      </c>
      <c r="B379" s="43">
        <v>0</v>
      </c>
      <c r="C379" t="s">
        <v>152</v>
      </c>
      <c r="D379" t="s">
        <v>44</v>
      </c>
      <c r="E379" t="s">
        <v>306</v>
      </c>
      <c r="F379">
        <v>16400</v>
      </c>
      <c r="G379" t="s">
        <v>180</v>
      </c>
    </row>
    <row r="380" spans="1:7" x14ac:dyDescent="0.3">
      <c r="A380" s="42">
        <v>46159</v>
      </c>
      <c r="B380" s="43">
        <v>0.45504629629629628</v>
      </c>
      <c r="C380" t="s">
        <v>152</v>
      </c>
      <c r="D380" t="s">
        <v>38</v>
      </c>
      <c r="E380" t="s">
        <v>371</v>
      </c>
      <c r="F380">
        <v>-1000</v>
      </c>
      <c r="G380" t="s">
        <v>154</v>
      </c>
    </row>
    <row r="381" spans="1:7" x14ac:dyDescent="0.3">
      <c r="A381" s="42">
        <v>46159</v>
      </c>
      <c r="B381" s="43">
        <v>0.4500925925925926</v>
      </c>
      <c r="C381" t="s">
        <v>152</v>
      </c>
      <c r="D381" t="s">
        <v>38</v>
      </c>
      <c r="E381" t="s">
        <v>371</v>
      </c>
      <c r="F381">
        <v>-2000</v>
      </c>
      <c r="G381" t="s">
        <v>154</v>
      </c>
    </row>
    <row r="382" spans="1:7" x14ac:dyDescent="0.3">
      <c r="A382" s="42">
        <v>46159</v>
      </c>
      <c r="B382" s="43">
        <v>0.44512731481481482</v>
      </c>
      <c r="C382" t="s">
        <v>152</v>
      </c>
      <c r="D382" t="s">
        <v>47</v>
      </c>
      <c r="E382" t="s">
        <v>372</v>
      </c>
      <c r="F382">
        <v>-1000</v>
      </c>
      <c r="G382" t="s">
        <v>236</v>
      </c>
    </row>
    <row r="383" spans="1:7" x14ac:dyDescent="0.3">
      <c r="A383" s="42">
        <v>46159</v>
      </c>
      <c r="B383" s="43">
        <v>0.41787037037037039</v>
      </c>
      <c r="C383" t="s">
        <v>152</v>
      </c>
      <c r="D383" t="s">
        <v>36</v>
      </c>
      <c r="E383" t="s">
        <v>243</v>
      </c>
      <c r="F383">
        <v>-1500</v>
      </c>
      <c r="G383" t="s">
        <v>161</v>
      </c>
    </row>
    <row r="384" spans="1:7" x14ac:dyDescent="0.3">
      <c r="A384" s="42">
        <v>46159</v>
      </c>
      <c r="B384" s="43">
        <v>0.41787037037037039</v>
      </c>
      <c r="C384" t="s">
        <v>152</v>
      </c>
      <c r="D384" t="s">
        <v>36</v>
      </c>
      <c r="E384" t="s">
        <v>244</v>
      </c>
      <c r="F384">
        <v>-2000</v>
      </c>
      <c r="G384" t="s">
        <v>161</v>
      </c>
    </row>
    <row r="385" spans="1:7" x14ac:dyDescent="0.3">
      <c r="A385" s="42">
        <v>46159</v>
      </c>
      <c r="B385" s="43">
        <v>0.38166666666666671</v>
      </c>
      <c r="C385" t="s">
        <v>152</v>
      </c>
      <c r="D385" t="s">
        <v>37</v>
      </c>
      <c r="E385" t="s">
        <v>373</v>
      </c>
      <c r="F385">
        <v>-80000000</v>
      </c>
      <c r="G385" t="s">
        <v>67</v>
      </c>
    </row>
    <row r="386" spans="1:7" x14ac:dyDescent="0.3">
      <c r="A386" s="42">
        <v>46158</v>
      </c>
      <c r="B386" s="43">
        <v>0.87135416666666665</v>
      </c>
      <c r="C386" t="s">
        <v>152</v>
      </c>
      <c r="D386" t="s">
        <v>42</v>
      </c>
      <c r="E386" t="s">
        <v>362</v>
      </c>
      <c r="F386">
        <v>-76390</v>
      </c>
      <c r="G386" t="s">
        <v>186</v>
      </c>
    </row>
    <row r="387" spans="1:7" x14ac:dyDescent="0.3">
      <c r="A387" s="42">
        <v>46158</v>
      </c>
      <c r="B387" s="43">
        <v>0.83997685185185189</v>
      </c>
      <c r="C387" t="s">
        <v>152</v>
      </c>
      <c r="D387" t="s">
        <v>47</v>
      </c>
      <c r="E387" t="s">
        <v>374</v>
      </c>
      <c r="F387">
        <v>-50000</v>
      </c>
      <c r="G387" t="s">
        <v>154</v>
      </c>
    </row>
    <row r="388" spans="1:7" x14ac:dyDescent="0.3">
      <c r="A388" s="42">
        <v>46158</v>
      </c>
      <c r="B388" s="43">
        <v>0.60302083333333334</v>
      </c>
      <c r="C388" t="s">
        <v>152</v>
      </c>
      <c r="D388" t="s">
        <v>44</v>
      </c>
      <c r="E388" t="s">
        <v>375</v>
      </c>
      <c r="F388">
        <v>-25720</v>
      </c>
      <c r="G388" t="s">
        <v>266</v>
      </c>
    </row>
    <row r="389" spans="1:7" x14ac:dyDescent="0.3">
      <c r="A389" s="42">
        <v>46158</v>
      </c>
      <c r="B389" s="43">
        <v>0.60166666666666668</v>
      </c>
      <c r="C389" t="s">
        <v>152</v>
      </c>
      <c r="D389" t="s">
        <v>44</v>
      </c>
      <c r="E389" t="s">
        <v>375</v>
      </c>
      <c r="F389">
        <v>-25150</v>
      </c>
      <c r="G389" t="s">
        <v>266</v>
      </c>
    </row>
    <row r="390" spans="1:7" x14ac:dyDescent="0.3">
      <c r="A390" s="42">
        <v>46158</v>
      </c>
      <c r="B390" s="43">
        <v>0.41008101851851853</v>
      </c>
      <c r="C390" t="s">
        <v>152</v>
      </c>
      <c r="D390" t="s">
        <v>36</v>
      </c>
      <c r="E390" t="s">
        <v>243</v>
      </c>
      <c r="F390">
        <v>-1500</v>
      </c>
      <c r="G390" t="s">
        <v>161</v>
      </c>
    </row>
    <row r="391" spans="1:7" x14ac:dyDescent="0.3">
      <c r="A391" s="42">
        <v>46158</v>
      </c>
      <c r="B391" s="43">
        <v>0.41008101851851853</v>
      </c>
      <c r="C391" t="s">
        <v>152</v>
      </c>
      <c r="D391" t="s">
        <v>36</v>
      </c>
      <c r="E391" t="s">
        <v>244</v>
      </c>
      <c r="F391">
        <v>-1900</v>
      </c>
      <c r="G391" t="s">
        <v>161</v>
      </c>
    </row>
    <row r="392" spans="1:7" x14ac:dyDescent="0.3">
      <c r="A392" s="42">
        <v>46157</v>
      </c>
      <c r="B392" s="43">
        <v>0.7167824074074074</v>
      </c>
      <c r="C392" t="s">
        <v>152</v>
      </c>
      <c r="D392" t="s">
        <v>44</v>
      </c>
      <c r="E392" t="s">
        <v>306</v>
      </c>
      <c r="F392">
        <v>-16400</v>
      </c>
      <c r="G392" t="s">
        <v>180</v>
      </c>
    </row>
    <row r="393" spans="1:7" x14ac:dyDescent="0.3">
      <c r="A393" s="42">
        <v>46157</v>
      </c>
      <c r="B393" s="43">
        <v>0.71564814814814814</v>
      </c>
      <c r="C393" t="s">
        <v>152</v>
      </c>
      <c r="D393" t="s">
        <v>44</v>
      </c>
      <c r="E393" t="s">
        <v>306</v>
      </c>
      <c r="F393">
        <v>14300</v>
      </c>
      <c r="G393" t="s">
        <v>180</v>
      </c>
    </row>
    <row r="394" spans="1:7" x14ac:dyDescent="0.3">
      <c r="A394" s="42">
        <v>46157</v>
      </c>
      <c r="B394" s="43">
        <v>0.62163194444444447</v>
      </c>
      <c r="C394" t="s">
        <v>152</v>
      </c>
      <c r="D394" t="s">
        <v>36</v>
      </c>
      <c r="E394" t="s">
        <v>250</v>
      </c>
      <c r="F394">
        <v>-45900</v>
      </c>
      <c r="G394" t="s">
        <v>180</v>
      </c>
    </row>
    <row r="395" spans="1:7" x14ac:dyDescent="0.3">
      <c r="A395" s="42">
        <v>46157</v>
      </c>
      <c r="B395" s="43">
        <v>0.50567129629629626</v>
      </c>
      <c r="C395" t="s">
        <v>152</v>
      </c>
      <c r="D395" t="s">
        <v>49</v>
      </c>
      <c r="E395" t="s">
        <v>288</v>
      </c>
      <c r="F395">
        <v>-11600</v>
      </c>
      <c r="G395" t="s">
        <v>180</v>
      </c>
    </row>
    <row r="396" spans="1:7" x14ac:dyDescent="0.3">
      <c r="A396" s="42">
        <v>46157</v>
      </c>
      <c r="B396" s="43">
        <v>0.41093750000000001</v>
      </c>
      <c r="C396" t="s">
        <v>152</v>
      </c>
      <c r="D396" t="s">
        <v>36</v>
      </c>
      <c r="E396" t="s">
        <v>243</v>
      </c>
      <c r="F396">
        <v>-1500</v>
      </c>
      <c r="G396" t="s">
        <v>161</v>
      </c>
    </row>
    <row r="397" spans="1:7" x14ac:dyDescent="0.3">
      <c r="A397" s="42">
        <v>46157</v>
      </c>
      <c r="B397" s="43">
        <v>0.41093750000000001</v>
      </c>
      <c r="C397" t="s">
        <v>152</v>
      </c>
      <c r="D397" t="s">
        <v>36</v>
      </c>
      <c r="E397" t="s">
        <v>244</v>
      </c>
      <c r="F397">
        <v>-2000</v>
      </c>
      <c r="G397" t="s">
        <v>161</v>
      </c>
    </row>
    <row r="398" spans="1:7" x14ac:dyDescent="0.3">
      <c r="A398" s="42">
        <v>46157</v>
      </c>
      <c r="B398" s="43">
        <v>0.32662037037037039</v>
      </c>
      <c r="C398" t="s">
        <v>152</v>
      </c>
      <c r="D398" t="s">
        <v>44</v>
      </c>
      <c r="E398" t="s">
        <v>306</v>
      </c>
      <c r="F398">
        <v>-14300</v>
      </c>
      <c r="G398" t="s">
        <v>180</v>
      </c>
    </row>
    <row r="399" spans="1:7" x14ac:dyDescent="0.3">
      <c r="A399" s="42">
        <v>46156</v>
      </c>
      <c r="B399" s="43">
        <v>0.8430671296296296</v>
      </c>
      <c r="C399" t="s">
        <v>152</v>
      </c>
      <c r="D399" t="s">
        <v>38</v>
      </c>
      <c r="E399" t="s">
        <v>376</v>
      </c>
      <c r="F399">
        <v>-4221</v>
      </c>
      <c r="G399" t="s">
        <v>199</v>
      </c>
    </row>
    <row r="400" spans="1:7" x14ac:dyDescent="0.3">
      <c r="A400" s="42">
        <v>46156</v>
      </c>
      <c r="B400" s="43">
        <v>0.8430671296296296</v>
      </c>
      <c r="C400" t="s">
        <v>152</v>
      </c>
      <c r="D400" t="s">
        <v>38</v>
      </c>
      <c r="E400" t="s">
        <v>376</v>
      </c>
      <c r="F400">
        <v>-3729</v>
      </c>
      <c r="G400" t="s">
        <v>182</v>
      </c>
    </row>
    <row r="401" spans="1:7" x14ac:dyDescent="0.3">
      <c r="A401" s="42">
        <v>46156</v>
      </c>
      <c r="B401" s="43">
        <v>0.80651620370370369</v>
      </c>
      <c r="C401" t="s">
        <v>155</v>
      </c>
      <c r="D401" t="s">
        <v>213</v>
      </c>
      <c r="E401" t="s">
        <v>377</v>
      </c>
      <c r="F401">
        <v>-1011432</v>
      </c>
      <c r="G401" t="s">
        <v>61</v>
      </c>
    </row>
    <row r="402" spans="1:7" x14ac:dyDescent="0.3">
      <c r="A402" s="42">
        <v>46156</v>
      </c>
      <c r="B402" s="43">
        <v>0.64170138888888884</v>
      </c>
      <c r="C402" t="s">
        <v>152</v>
      </c>
      <c r="D402" t="s">
        <v>50</v>
      </c>
      <c r="E402" t="s">
        <v>184</v>
      </c>
      <c r="F402">
        <v>-1600</v>
      </c>
      <c r="G402" t="s">
        <v>180</v>
      </c>
    </row>
    <row r="403" spans="1:7" x14ac:dyDescent="0.3">
      <c r="A403" s="42">
        <v>46156</v>
      </c>
      <c r="B403" s="43">
        <v>0.55851851851851853</v>
      </c>
      <c r="C403" t="s">
        <v>152</v>
      </c>
      <c r="D403" t="s">
        <v>44</v>
      </c>
      <c r="E403" t="s">
        <v>378</v>
      </c>
      <c r="F403">
        <v>-55800</v>
      </c>
      <c r="G403" t="s">
        <v>154</v>
      </c>
    </row>
    <row r="404" spans="1:7" x14ac:dyDescent="0.3">
      <c r="A404" s="42">
        <v>46156</v>
      </c>
      <c r="B404" s="43">
        <v>0.51314814814814813</v>
      </c>
      <c r="C404" t="s">
        <v>152</v>
      </c>
      <c r="D404" t="s">
        <v>49</v>
      </c>
      <c r="E404" t="s">
        <v>379</v>
      </c>
      <c r="F404">
        <v>-19000</v>
      </c>
      <c r="G404" t="s">
        <v>180</v>
      </c>
    </row>
    <row r="405" spans="1:7" x14ac:dyDescent="0.3">
      <c r="A405" s="42">
        <v>46156</v>
      </c>
      <c r="B405" s="43">
        <v>0.48827546296296298</v>
      </c>
      <c r="C405" t="s">
        <v>152</v>
      </c>
      <c r="D405" t="s">
        <v>50</v>
      </c>
      <c r="E405" t="s">
        <v>380</v>
      </c>
      <c r="F405">
        <v>-33800</v>
      </c>
      <c r="G405" t="s">
        <v>154</v>
      </c>
    </row>
    <row r="406" spans="1:7" x14ac:dyDescent="0.3">
      <c r="A406" s="42">
        <v>46156</v>
      </c>
      <c r="B406" s="43">
        <v>0.42216435185185192</v>
      </c>
      <c r="C406" t="s">
        <v>152</v>
      </c>
      <c r="D406" t="s">
        <v>36</v>
      </c>
      <c r="E406" t="s">
        <v>243</v>
      </c>
      <c r="F406">
        <v>-1500</v>
      </c>
      <c r="G406" t="s">
        <v>161</v>
      </c>
    </row>
    <row r="407" spans="1:7" x14ac:dyDescent="0.3">
      <c r="A407" s="42">
        <v>46156</v>
      </c>
      <c r="B407" s="43">
        <v>0.42216435185185192</v>
      </c>
      <c r="C407" t="s">
        <v>152</v>
      </c>
      <c r="D407" t="s">
        <v>36</v>
      </c>
      <c r="E407" t="s">
        <v>244</v>
      </c>
      <c r="F407">
        <v>-2000</v>
      </c>
      <c r="G407" t="s">
        <v>161</v>
      </c>
    </row>
    <row r="408" spans="1:7" x14ac:dyDescent="0.3">
      <c r="A408" s="42">
        <v>46156</v>
      </c>
      <c r="B408" s="43">
        <v>0.3964699074074074</v>
      </c>
      <c r="C408" t="s">
        <v>152</v>
      </c>
      <c r="D408" t="s">
        <v>50</v>
      </c>
      <c r="E408" t="s">
        <v>184</v>
      </c>
      <c r="F408">
        <v>-1600</v>
      </c>
      <c r="G408" t="s">
        <v>180</v>
      </c>
    </row>
    <row r="409" spans="1:7" x14ac:dyDescent="0.3">
      <c r="A409" s="42">
        <v>46155</v>
      </c>
      <c r="B409" s="43">
        <v>0.87267361111111108</v>
      </c>
      <c r="C409" t="s">
        <v>155</v>
      </c>
      <c r="D409" t="s">
        <v>155</v>
      </c>
      <c r="E409" t="s">
        <v>277</v>
      </c>
      <c r="F409">
        <v>44170</v>
      </c>
      <c r="G409" t="s">
        <v>67</v>
      </c>
    </row>
    <row r="410" spans="1:7" x14ac:dyDescent="0.3">
      <c r="A410" s="42">
        <v>46155</v>
      </c>
      <c r="B410" s="43">
        <v>0.83833333333333337</v>
      </c>
      <c r="C410" t="s">
        <v>152</v>
      </c>
      <c r="D410" t="s">
        <v>44</v>
      </c>
      <c r="E410" t="s">
        <v>190</v>
      </c>
      <c r="F410">
        <v>-44170</v>
      </c>
      <c r="G410" t="s">
        <v>154</v>
      </c>
    </row>
    <row r="411" spans="1:7" x14ac:dyDescent="0.3">
      <c r="A411" s="42">
        <v>46155</v>
      </c>
      <c r="B411" s="43">
        <v>0.81282407407407409</v>
      </c>
      <c r="C411" t="s">
        <v>155</v>
      </c>
      <c r="D411" t="s">
        <v>155</v>
      </c>
      <c r="E411" t="s">
        <v>202</v>
      </c>
      <c r="F411">
        <v>-300000</v>
      </c>
      <c r="G411" t="s">
        <v>60</v>
      </c>
    </row>
    <row r="412" spans="1:7" x14ac:dyDescent="0.3">
      <c r="A412" s="42">
        <v>46155</v>
      </c>
      <c r="B412" s="43">
        <v>0.81100694444444443</v>
      </c>
      <c r="C412" t="s">
        <v>155</v>
      </c>
      <c r="D412" t="s">
        <v>213</v>
      </c>
      <c r="E412" t="s">
        <v>326</v>
      </c>
      <c r="F412">
        <v>-507530</v>
      </c>
      <c r="G412" t="s">
        <v>61</v>
      </c>
    </row>
    <row r="413" spans="1:7" x14ac:dyDescent="0.3">
      <c r="A413" s="42">
        <v>46155</v>
      </c>
      <c r="B413" s="43">
        <v>0.50969907407407411</v>
      </c>
      <c r="C413" t="s">
        <v>152</v>
      </c>
      <c r="D413" t="s">
        <v>50</v>
      </c>
      <c r="E413" t="s">
        <v>184</v>
      </c>
      <c r="F413">
        <v>-10100</v>
      </c>
      <c r="G413" t="s">
        <v>180</v>
      </c>
    </row>
    <row r="414" spans="1:7" x14ac:dyDescent="0.3">
      <c r="A414" s="42">
        <v>46155</v>
      </c>
      <c r="B414" s="43">
        <v>0.49319444444444438</v>
      </c>
      <c r="C414" t="s">
        <v>155</v>
      </c>
      <c r="D414" t="s">
        <v>155</v>
      </c>
      <c r="E414" t="s">
        <v>381</v>
      </c>
      <c r="F414">
        <v>100000</v>
      </c>
      <c r="G414" t="s">
        <v>158</v>
      </c>
    </row>
    <row r="415" spans="1:7" x14ac:dyDescent="0.3">
      <c r="A415" s="42">
        <v>46155</v>
      </c>
      <c r="B415" s="43">
        <v>0.35417824074074072</v>
      </c>
      <c r="C415" t="s">
        <v>152</v>
      </c>
      <c r="D415" t="s">
        <v>49</v>
      </c>
      <c r="E415" t="s">
        <v>338</v>
      </c>
      <c r="F415">
        <v>-3710</v>
      </c>
      <c r="G415" t="s">
        <v>154</v>
      </c>
    </row>
    <row r="416" spans="1:7" x14ac:dyDescent="0.3">
      <c r="A416" s="42">
        <v>46154</v>
      </c>
      <c r="B416" s="43">
        <v>0.47070601851851851</v>
      </c>
      <c r="C416" t="s">
        <v>152</v>
      </c>
      <c r="D416" t="s">
        <v>42</v>
      </c>
      <c r="E416" t="s">
        <v>183</v>
      </c>
      <c r="F416">
        <v>-17100</v>
      </c>
      <c r="G416" t="s">
        <v>154</v>
      </c>
    </row>
    <row r="417" spans="1:7" x14ac:dyDescent="0.3">
      <c r="A417" s="42">
        <v>46154</v>
      </c>
      <c r="B417" s="43">
        <v>0.44420138888888888</v>
      </c>
      <c r="C417" t="s">
        <v>152</v>
      </c>
      <c r="D417" t="s">
        <v>44</v>
      </c>
      <c r="E417" t="s">
        <v>159</v>
      </c>
      <c r="F417">
        <v>-8900</v>
      </c>
      <c r="G417" t="s">
        <v>154</v>
      </c>
    </row>
    <row r="418" spans="1:7" x14ac:dyDescent="0.3">
      <c r="A418" s="42">
        <v>46154</v>
      </c>
      <c r="B418" s="43">
        <v>0.41108796296296302</v>
      </c>
      <c r="C418" t="s">
        <v>152</v>
      </c>
      <c r="D418" t="s">
        <v>36</v>
      </c>
      <c r="E418" t="s">
        <v>244</v>
      </c>
      <c r="F418">
        <v>-3400</v>
      </c>
      <c r="G418" t="s">
        <v>161</v>
      </c>
    </row>
    <row r="419" spans="1:7" x14ac:dyDescent="0.3">
      <c r="A419" s="42">
        <v>46154</v>
      </c>
      <c r="B419" s="43">
        <v>0.39612268518518517</v>
      </c>
      <c r="C419" t="s">
        <v>152</v>
      </c>
      <c r="D419" t="s">
        <v>50</v>
      </c>
      <c r="E419" t="s">
        <v>184</v>
      </c>
      <c r="F419">
        <v>-1600</v>
      </c>
      <c r="G419" t="s">
        <v>180</v>
      </c>
    </row>
    <row r="420" spans="1:7" x14ac:dyDescent="0.3">
      <c r="A420" s="42">
        <v>46153</v>
      </c>
      <c r="B420" s="43">
        <v>0.86446759259259254</v>
      </c>
      <c r="C420" t="s">
        <v>152</v>
      </c>
      <c r="D420" t="s">
        <v>44</v>
      </c>
      <c r="E420" t="s">
        <v>190</v>
      </c>
      <c r="F420">
        <v>-15900</v>
      </c>
      <c r="G420" t="s">
        <v>154</v>
      </c>
    </row>
    <row r="421" spans="1:7" x14ac:dyDescent="0.3">
      <c r="A421" s="42">
        <v>46153</v>
      </c>
      <c r="B421" s="43">
        <v>0.67884259259259261</v>
      </c>
      <c r="C421" t="s">
        <v>176</v>
      </c>
      <c r="D421" t="s">
        <v>29</v>
      </c>
      <c r="E421" t="s">
        <v>382</v>
      </c>
      <c r="F421">
        <v>50000</v>
      </c>
      <c r="G421" t="s">
        <v>61</v>
      </c>
    </row>
    <row r="422" spans="1:7" x14ac:dyDescent="0.3">
      <c r="A422" s="42">
        <v>46153</v>
      </c>
      <c r="B422" s="43">
        <v>0.55892361111111111</v>
      </c>
      <c r="C422" t="s">
        <v>155</v>
      </c>
      <c r="D422" t="s">
        <v>155</v>
      </c>
      <c r="E422" t="s">
        <v>166</v>
      </c>
      <c r="F422">
        <v>-200000</v>
      </c>
      <c r="G422" t="s">
        <v>61</v>
      </c>
    </row>
    <row r="423" spans="1:7" x14ac:dyDescent="0.3">
      <c r="A423" s="42">
        <v>46153</v>
      </c>
      <c r="B423" s="43">
        <v>0.51586805555555559</v>
      </c>
      <c r="C423" t="s">
        <v>152</v>
      </c>
      <c r="D423" t="s">
        <v>44</v>
      </c>
      <c r="E423" t="s">
        <v>179</v>
      </c>
      <c r="F423">
        <v>-34900</v>
      </c>
      <c r="G423" t="s">
        <v>180</v>
      </c>
    </row>
    <row r="424" spans="1:7" x14ac:dyDescent="0.3">
      <c r="A424" s="42">
        <v>46153</v>
      </c>
      <c r="B424" s="43">
        <v>0.41226851851851848</v>
      </c>
      <c r="C424" t="s">
        <v>152</v>
      </c>
      <c r="D424" t="s">
        <v>36</v>
      </c>
      <c r="E424" t="s">
        <v>243</v>
      </c>
      <c r="F424">
        <v>-1500</v>
      </c>
      <c r="G424" t="s">
        <v>161</v>
      </c>
    </row>
    <row r="425" spans="1:7" x14ac:dyDescent="0.3">
      <c r="A425" s="42">
        <v>46153</v>
      </c>
      <c r="B425" s="43">
        <v>0.41225694444444438</v>
      </c>
      <c r="C425" t="s">
        <v>152</v>
      </c>
      <c r="D425" t="s">
        <v>36</v>
      </c>
      <c r="E425" t="s">
        <v>314</v>
      </c>
      <c r="F425">
        <v>-3450</v>
      </c>
      <c r="G425" t="s">
        <v>161</v>
      </c>
    </row>
    <row r="426" spans="1:7" x14ac:dyDescent="0.3">
      <c r="A426" s="42">
        <v>46153</v>
      </c>
      <c r="B426" s="43">
        <v>4.2372685185185187E-2</v>
      </c>
      <c r="C426" t="s">
        <v>152</v>
      </c>
      <c r="D426" t="s">
        <v>48</v>
      </c>
      <c r="E426" t="s">
        <v>311</v>
      </c>
      <c r="F426">
        <v>-35000</v>
      </c>
      <c r="G426" t="s">
        <v>154</v>
      </c>
    </row>
    <row r="427" spans="1:7" x14ac:dyDescent="0.3">
      <c r="A427" s="42">
        <v>46153</v>
      </c>
      <c r="B427" s="43">
        <v>4.2372685185185187E-2</v>
      </c>
      <c r="C427" t="s">
        <v>152</v>
      </c>
      <c r="D427" t="s">
        <v>48</v>
      </c>
      <c r="E427" t="s">
        <v>311</v>
      </c>
      <c r="F427">
        <v>-39930</v>
      </c>
      <c r="G427" t="s">
        <v>154</v>
      </c>
    </row>
    <row r="428" spans="1:7" x14ac:dyDescent="0.3">
      <c r="A428" s="42">
        <v>46152</v>
      </c>
      <c r="B428" s="43">
        <v>0.77483796296296292</v>
      </c>
      <c r="C428" t="s">
        <v>152</v>
      </c>
      <c r="D428" t="s">
        <v>44</v>
      </c>
      <c r="E428" t="s">
        <v>383</v>
      </c>
      <c r="F428">
        <v>-52900</v>
      </c>
      <c r="G428" t="s">
        <v>236</v>
      </c>
    </row>
    <row r="429" spans="1:7" x14ac:dyDescent="0.3">
      <c r="A429" s="42">
        <v>46152</v>
      </c>
      <c r="B429" s="43">
        <v>0.76596064814814813</v>
      </c>
      <c r="C429" t="s">
        <v>155</v>
      </c>
      <c r="D429" t="s">
        <v>155</v>
      </c>
      <c r="E429" t="s">
        <v>166</v>
      </c>
      <c r="F429">
        <v>-50000</v>
      </c>
      <c r="G429" t="s">
        <v>61</v>
      </c>
    </row>
    <row r="430" spans="1:7" x14ac:dyDescent="0.3">
      <c r="A430" s="42">
        <v>46152</v>
      </c>
      <c r="B430" s="43">
        <v>0.46166666666666673</v>
      </c>
      <c r="C430" t="s">
        <v>152</v>
      </c>
      <c r="D430" t="s">
        <v>50</v>
      </c>
      <c r="E430" t="s">
        <v>352</v>
      </c>
      <c r="F430">
        <v>-59000</v>
      </c>
      <c r="G430" t="s">
        <v>180</v>
      </c>
    </row>
    <row r="431" spans="1:7" x14ac:dyDescent="0.3">
      <c r="A431" s="42">
        <v>46152</v>
      </c>
      <c r="B431" s="43">
        <v>0.45631944444444439</v>
      </c>
      <c r="C431" t="s">
        <v>152</v>
      </c>
      <c r="D431" t="s">
        <v>50</v>
      </c>
      <c r="E431" t="s">
        <v>352</v>
      </c>
      <c r="F431">
        <v>-49410</v>
      </c>
      <c r="G431" t="s">
        <v>180</v>
      </c>
    </row>
    <row r="432" spans="1:7" x14ac:dyDescent="0.3">
      <c r="A432" s="42">
        <v>46152</v>
      </c>
      <c r="B432" s="43">
        <v>0.41986111111111107</v>
      </c>
      <c r="C432" t="s">
        <v>152</v>
      </c>
      <c r="D432" t="s">
        <v>36</v>
      </c>
      <c r="E432" t="s">
        <v>243</v>
      </c>
      <c r="F432">
        <v>-1500</v>
      </c>
      <c r="G432" t="s">
        <v>161</v>
      </c>
    </row>
    <row r="433" spans="1:7" x14ac:dyDescent="0.3">
      <c r="A433" s="42">
        <v>46152</v>
      </c>
      <c r="B433" s="43">
        <v>0.41986111111111107</v>
      </c>
      <c r="C433" t="s">
        <v>152</v>
      </c>
      <c r="D433" t="s">
        <v>36</v>
      </c>
      <c r="E433" t="s">
        <v>244</v>
      </c>
      <c r="F433">
        <v>-2000</v>
      </c>
      <c r="G433" t="s">
        <v>161</v>
      </c>
    </row>
    <row r="434" spans="1:7" x14ac:dyDescent="0.3">
      <c r="A434" s="42">
        <v>46151</v>
      </c>
      <c r="B434" s="43">
        <v>0.85296296296296292</v>
      </c>
      <c r="C434" t="s">
        <v>152</v>
      </c>
      <c r="D434" t="s">
        <v>44</v>
      </c>
      <c r="E434" t="s">
        <v>190</v>
      </c>
      <c r="F434">
        <v>-6000</v>
      </c>
      <c r="G434" t="s">
        <v>154</v>
      </c>
    </row>
    <row r="435" spans="1:7" x14ac:dyDescent="0.3">
      <c r="A435" s="42">
        <v>46151</v>
      </c>
      <c r="B435" s="43">
        <v>0.81055555555555558</v>
      </c>
      <c r="C435" t="s">
        <v>152</v>
      </c>
      <c r="D435" t="s">
        <v>43</v>
      </c>
      <c r="E435" t="s">
        <v>384</v>
      </c>
      <c r="F435">
        <v>-325583</v>
      </c>
      <c r="G435" t="s">
        <v>180</v>
      </c>
    </row>
    <row r="436" spans="1:7" x14ac:dyDescent="0.3">
      <c r="A436" s="42">
        <v>46151</v>
      </c>
      <c r="B436" s="43">
        <v>0.43703703703703711</v>
      </c>
      <c r="C436" t="s">
        <v>152</v>
      </c>
      <c r="D436" t="s">
        <v>45</v>
      </c>
      <c r="E436" t="s">
        <v>385</v>
      </c>
      <c r="F436">
        <v>-25000</v>
      </c>
      <c r="G436" t="s">
        <v>180</v>
      </c>
    </row>
    <row r="437" spans="1:7" x14ac:dyDescent="0.3">
      <c r="A437" s="42">
        <v>46151</v>
      </c>
      <c r="B437" s="43">
        <v>0.42453703703703699</v>
      </c>
      <c r="C437" t="s">
        <v>152</v>
      </c>
      <c r="D437" t="s">
        <v>36</v>
      </c>
      <c r="E437" t="s">
        <v>243</v>
      </c>
      <c r="F437">
        <v>-1500</v>
      </c>
      <c r="G437" t="s">
        <v>161</v>
      </c>
    </row>
    <row r="438" spans="1:7" x14ac:dyDescent="0.3">
      <c r="A438" s="42">
        <v>46151</v>
      </c>
      <c r="B438" s="43">
        <v>0.42453703703703699</v>
      </c>
      <c r="C438" t="s">
        <v>152</v>
      </c>
      <c r="D438" t="s">
        <v>36</v>
      </c>
      <c r="E438" t="s">
        <v>244</v>
      </c>
      <c r="F438">
        <v>-2000</v>
      </c>
      <c r="G438" t="s">
        <v>161</v>
      </c>
    </row>
    <row r="439" spans="1:7" x14ac:dyDescent="0.3">
      <c r="A439" s="42">
        <v>46151</v>
      </c>
      <c r="B439" s="43">
        <v>6.8668981481481484E-2</v>
      </c>
      <c r="C439" t="s">
        <v>155</v>
      </c>
      <c r="D439" t="s">
        <v>156</v>
      </c>
      <c r="E439" t="s">
        <v>234</v>
      </c>
      <c r="F439">
        <v>2287</v>
      </c>
      <c r="G439" t="s">
        <v>61</v>
      </c>
    </row>
    <row r="440" spans="1:7" x14ac:dyDescent="0.3">
      <c r="A440" s="42">
        <v>46151</v>
      </c>
      <c r="B440" s="43">
        <v>6.8495370370370373E-2</v>
      </c>
      <c r="C440" t="s">
        <v>155</v>
      </c>
      <c r="D440" t="s">
        <v>156</v>
      </c>
      <c r="E440" t="s">
        <v>234</v>
      </c>
      <c r="F440">
        <v>4725</v>
      </c>
      <c r="G440" t="s">
        <v>60</v>
      </c>
    </row>
    <row r="441" spans="1:7" x14ac:dyDescent="0.3">
      <c r="A441" s="42">
        <v>46150</v>
      </c>
      <c r="B441" s="43">
        <v>0.80359953703703701</v>
      </c>
      <c r="C441" t="s">
        <v>152</v>
      </c>
      <c r="D441" t="s">
        <v>40</v>
      </c>
      <c r="E441" t="s">
        <v>386</v>
      </c>
      <c r="F441">
        <v>-1300</v>
      </c>
      <c r="G441" t="s">
        <v>180</v>
      </c>
    </row>
    <row r="442" spans="1:7" x14ac:dyDescent="0.3">
      <c r="A442" s="42">
        <v>46150</v>
      </c>
      <c r="B442" s="43">
        <v>0.80108796296296292</v>
      </c>
      <c r="C442" t="s">
        <v>152</v>
      </c>
      <c r="D442" t="s">
        <v>43</v>
      </c>
      <c r="E442" t="s">
        <v>387</v>
      </c>
      <c r="F442">
        <v>-12500</v>
      </c>
      <c r="G442" t="s">
        <v>180</v>
      </c>
    </row>
    <row r="443" spans="1:7" x14ac:dyDescent="0.3">
      <c r="A443" s="42">
        <v>46150</v>
      </c>
      <c r="B443" s="43">
        <v>0.68016203703703704</v>
      </c>
      <c r="C443" t="s">
        <v>152</v>
      </c>
      <c r="D443" t="s">
        <v>44</v>
      </c>
      <c r="E443" t="s">
        <v>306</v>
      </c>
      <c r="F443">
        <v>-16400</v>
      </c>
      <c r="G443" t="s">
        <v>180</v>
      </c>
    </row>
    <row r="444" spans="1:7" x14ac:dyDescent="0.3">
      <c r="A444" s="42">
        <v>46150</v>
      </c>
      <c r="B444" s="43">
        <v>0.6457060185185185</v>
      </c>
      <c r="C444" t="s">
        <v>176</v>
      </c>
      <c r="D444" t="s">
        <v>32</v>
      </c>
      <c r="E444" t="s">
        <v>177</v>
      </c>
      <c r="F444">
        <v>540300</v>
      </c>
      <c r="G444" t="s">
        <v>61</v>
      </c>
    </row>
    <row r="445" spans="1:7" x14ac:dyDescent="0.3">
      <c r="A445" s="42">
        <v>46149</v>
      </c>
      <c r="B445" s="43">
        <v>0.66964120370370372</v>
      </c>
      <c r="C445" t="s">
        <v>152</v>
      </c>
      <c r="D445" t="s">
        <v>50</v>
      </c>
      <c r="E445" t="s">
        <v>184</v>
      </c>
      <c r="F445">
        <v>-1600</v>
      </c>
      <c r="G445" t="s">
        <v>180</v>
      </c>
    </row>
    <row r="446" spans="1:7" x14ac:dyDescent="0.3">
      <c r="A446" s="42">
        <v>46149</v>
      </c>
      <c r="B446" s="43">
        <v>0.49552083333333341</v>
      </c>
      <c r="C446" t="s">
        <v>152</v>
      </c>
      <c r="D446" t="s">
        <v>42</v>
      </c>
      <c r="E446" t="s">
        <v>388</v>
      </c>
      <c r="F446">
        <v>-9400</v>
      </c>
      <c r="G446" t="s">
        <v>180</v>
      </c>
    </row>
    <row r="447" spans="1:7" x14ac:dyDescent="0.3">
      <c r="A447" s="42">
        <v>46149</v>
      </c>
      <c r="B447" s="43">
        <v>0.49368055555555562</v>
      </c>
      <c r="C447" t="s">
        <v>152</v>
      </c>
      <c r="D447" t="s">
        <v>40</v>
      </c>
      <c r="E447" t="s">
        <v>389</v>
      </c>
      <c r="F447">
        <v>-4040</v>
      </c>
      <c r="G447" t="s">
        <v>180</v>
      </c>
    </row>
    <row r="448" spans="1:7" x14ac:dyDescent="0.3">
      <c r="A448" s="42">
        <v>46149</v>
      </c>
      <c r="B448" s="43">
        <v>0.38743055555555561</v>
      </c>
      <c r="C448" t="s">
        <v>152</v>
      </c>
      <c r="D448" t="s">
        <v>44</v>
      </c>
      <c r="E448" t="s">
        <v>306</v>
      </c>
      <c r="F448">
        <v>-14300</v>
      </c>
      <c r="G448" t="s">
        <v>180</v>
      </c>
    </row>
    <row r="449" spans="1:7" x14ac:dyDescent="0.3">
      <c r="A449" s="42">
        <v>46148</v>
      </c>
      <c r="B449" s="43">
        <v>0.59300925925925929</v>
      </c>
      <c r="C449" t="s">
        <v>152</v>
      </c>
      <c r="D449" t="s">
        <v>50</v>
      </c>
      <c r="E449" t="s">
        <v>184</v>
      </c>
      <c r="F449">
        <v>-3200</v>
      </c>
      <c r="G449" t="s">
        <v>180</v>
      </c>
    </row>
    <row r="450" spans="1:7" x14ac:dyDescent="0.3">
      <c r="A450" s="42">
        <v>46148</v>
      </c>
      <c r="B450" s="43">
        <v>0.46023148148148152</v>
      </c>
      <c r="C450" t="s">
        <v>176</v>
      </c>
      <c r="D450" t="s">
        <v>31</v>
      </c>
      <c r="E450" t="s">
        <v>390</v>
      </c>
      <c r="F450">
        <v>80870330</v>
      </c>
      <c r="G450" t="s">
        <v>67</v>
      </c>
    </row>
    <row r="451" spans="1:7" x14ac:dyDescent="0.3">
      <c r="A451" s="42">
        <v>46147</v>
      </c>
      <c r="B451" s="43">
        <v>0.87353009259259262</v>
      </c>
      <c r="C451" t="s">
        <v>152</v>
      </c>
      <c r="D451" t="s">
        <v>44</v>
      </c>
      <c r="E451" t="s">
        <v>190</v>
      </c>
      <c r="F451">
        <v>-15120</v>
      </c>
      <c r="G451" t="s">
        <v>154</v>
      </c>
    </row>
    <row r="452" spans="1:7" x14ac:dyDescent="0.3">
      <c r="A452" s="42">
        <v>46147</v>
      </c>
      <c r="B452" s="43">
        <v>0.87187499999999996</v>
      </c>
      <c r="C452" t="s">
        <v>152</v>
      </c>
      <c r="D452" t="s">
        <v>44</v>
      </c>
      <c r="E452" t="s">
        <v>190</v>
      </c>
      <c r="F452">
        <v>-14520</v>
      </c>
      <c r="G452" t="s">
        <v>154</v>
      </c>
    </row>
    <row r="453" spans="1:7" x14ac:dyDescent="0.3">
      <c r="A453" s="42">
        <v>46147</v>
      </c>
      <c r="B453" s="43">
        <v>0.80092592592592593</v>
      </c>
      <c r="C453" t="s">
        <v>152</v>
      </c>
      <c r="D453" t="s">
        <v>39</v>
      </c>
      <c r="E453" t="s">
        <v>391</v>
      </c>
      <c r="F453">
        <v>-20000</v>
      </c>
      <c r="G453" t="s">
        <v>182</v>
      </c>
    </row>
    <row r="454" spans="1:7" x14ac:dyDescent="0.3">
      <c r="A454" s="42">
        <v>46147</v>
      </c>
      <c r="B454" s="43">
        <v>0.58280092592592592</v>
      </c>
      <c r="C454" t="s">
        <v>152</v>
      </c>
      <c r="D454" t="s">
        <v>42</v>
      </c>
      <c r="E454" t="s">
        <v>392</v>
      </c>
      <c r="F454">
        <v>-103180</v>
      </c>
      <c r="G454" t="s">
        <v>180</v>
      </c>
    </row>
    <row r="455" spans="1:7" x14ac:dyDescent="0.3">
      <c r="A455" s="42">
        <v>46147</v>
      </c>
      <c r="B455" s="43">
        <v>0.55018518518518522</v>
      </c>
      <c r="C455" t="s">
        <v>152</v>
      </c>
      <c r="D455" t="s">
        <v>40</v>
      </c>
      <c r="E455" t="s">
        <v>393</v>
      </c>
      <c r="F455">
        <v>-29400</v>
      </c>
      <c r="G455" t="s">
        <v>180</v>
      </c>
    </row>
    <row r="456" spans="1:7" x14ac:dyDescent="0.3">
      <c r="A456" s="42">
        <v>46147</v>
      </c>
      <c r="B456" s="43">
        <v>0.51940972222222226</v>
      </c>
      <c r="C456" t="s">
        <v>155</v>
      </c>
      <c r="D456" t="s">
        <v>163</v>
      </c>
      <c r="E456" t="s">
        <v>7</v>
      </c>
      <c r="F456">
        <v>1623842</v>
      </c>
      <c r="G456" t="s">
        <v>61</v>
      </c>
    </row>
    <row r="457" spans="1:7" x14ac:dyDescent="0.3">
      <c r="A457" s="42">
        <v>46147</v>
      </c>
      <c r="B457" s="43">
        <v>0.513275462962963</v>
      </c>
      <c r="C457" t="s">
        <v>152</v>
      </c>
      <c r="D457" t="s">
        <v>40</v>
      </c>
      <c r="E457" t="s">
        <v>394</v>
      </c>
      <c r="F457">
        <v>-700</v>
      </c>
      <c r="G457" t="s">
        <v>186</v>
      </c>
    </row>
    <row r="458" spans="1:7" x14ac:dyDescent="0.3">
      <c r="A458" s="42">
        <v>46147</v>
      </c>
      <c r="B458" s="43">
        <v>0.4869560185185185</v>
      </c>
      <c r="C458" t="s">
        <v>152</v>
      </c>
      <c r="D458" t="s">
        <v>40</v>
      </c>
      <c r="E458" t="s">
        <v>394</v>
      </c>
      <c r="F458">
        <v>-31200</v>
      </c>
      <c r="G458" t="s">
        <v>186</v>
      </c>
    </row>
    <row r="459" spans="1:7" x14ac:dyDescent="0.3">
      <c r="A459" s="42">
        <v>46147</v>
      </c>
      <c r="B459" s="43">
        <v>0.42225694444444439</v>
      </c>
      <c r="C459" t="s">
        <v>152</v>
      </c>
      <c r="D459" t="s">
        <v>44</v>
      </c>
      <c r="E459" t="s">
        <v>395</v>
      </c>
      <c r="F459">
        <v>-270000</v>
      </c>
      <c r="G459" t="s">
        <v>61</v>
      </c>
    </row>
    <row r="460" spans="1:7" x14ac:dyDescent="0.3">
      <c r="A460" s="42">
        <v>46146</v>
      </c>
      <c r="B460" s="43">
        <v>0.80252314814814818</v>
      </c>
      <c r="C460" t="s">
        <v>155</v>
      </c>
      <c r="D460" t="s">
        <v>213</v>
      </c>
      <c r="E460" t="s">
        <v>214</v>
      </c>
      <c r="F460">
        <v>-59740</v>
      </c>
      <c r="G460" t="s">
        <v>61</v>
      </c>
    </row>
    <row r="461" spans="1:7" x14ac:dyDescent="0.3">
      <c r="A461" s="42">
        <v>46146</v>
      </c>
      <c r="B461" s="43">
        <v>0.72619212962962965</v>
      </c>
      <c r="C461" t="s">
        <v>152</v>
      </c>
      <c r="D461" t="s">
        <v>37</v>
      </c>
      <c r="E461" t="s">
        <v>396</v>
      </c>
      <c r="F461">
        <v>-1200</v>
      </c>
      <c r="G461" t="s">
        <v>186</v>
      </c>
    </row>
    <row r="462" spans="1:7" x14ac:dyDescent="0.3">
      <c r="A462" s="42">
        <v>46146</v>
      </c>
      <c r="B462" s="43">
        <v>0.52512731481481478</v>
      </c>
      <c r="C462" t="s">
        <v>152</v>
      </c>
      <c r="D462" t="s">
        <v>42</v>
      </c>
      <c r="E462" t="s">
        <v>397</v>
      </c>
      <c r="F462">
        <v>-29800</v>
      </c>
      <c r="G462" t="s">
        <v>186</v>
      </c>
    </row>
    <row r="463" spans="1:7" x14ac:dyDescent="0.3">
      <c r="A463" s="42">
        <v>46146</v>
      </c>
      <c r="B463" s="43">
        <v>0.4599537037037037</v>
      </c>
      <c r="C463" t="s">
        <v>152</v>
      </c>
      <c r="D463" t="s">
        <v>37</v>
      </c>
      <c r="E463" t="s">
        <v>396</v>
      </c>
      <c r="F463">
        <v>-1000</v>
      </c>
      <c r="G463" t="s">
        <v>186</v>
      </c>
    </row>
    <row r="464" spans="1:7" x14ac:dyDescent="0.3">
      <c r="A464" s="42">
        <v>46146</v>
      </c>
      <c r="B464" s="43">
        <v>0.41703703703703698</v>
      </c>
      <c r="C464" t="s">
        <v>155</v>
      </c>
      <c r="D464" t="s">
        <v>155</v>
      </c>
      <c r="E464" t="s">
        <v>281</v>
      </c>
      <c r="F464">
        <v>-50000000</v>
      </c>
      <c r="G464" t="s">
        <v>61</v>
      </c>
    </row>
    <row r="465" spans="1:7" x14ac:dyDescent="0.3">
      <c r="A465" s="42">
        <v>46145</v>
      </c>
      <c r="B465" s="43">
        <v>0.89137731481481486</v>
      </c>
      <c r="C465" t="s">
        <v>155</v>
      </c>
      <c r="D465" t="s">
        <v>163</v>
      </c>
      <c r="E465" t="s">
        <v>7</v>
      </c>
      <c r="F465">
        <v>-30000000</v>
      </c>
      <c r="G465" t="s">
        <v>60</v>
      </c>
    </row>
    <row r="466" spans="1:7" x14ac:dyDescent="0.3">
      <c r="A466" s="42">
        <v>46145</v>
      </c>
      <c r="B466" s="43">
        <v>0.89137731481481486</v>
      </c>
      <c r="C466" t="s">
        <v>155</v>
      </c>
      <c r="D466" t="s">
        <v>163</v>
      </c>
      <c r="E466" t="s">
        <v>7</v>
      </c>
      <c r="F466">
        <v>30000000</v>
      </c>
      <c r="G466" t="s">
        <v>61</v>
      </c>
    </row>
    <row r="467" spans="1:7" x14ac:dyDescent="0.3">
      <c r="A467" s="42">
        <v>46145</v>
      </c>
      <c r="B467" s="43">
        <v>0.88415509259259262</v>
      </c>
      <c r="C467" t="s">
        <v>152</v>
      </c>
      <c r="D467" t="s">
        <v>50</v>
      </c>
      <c r="E467" t="s">
        <v>398</v>
      </c>
      <c r="F467">
        <v>-59900</v>
      </c>
      <c r="G467" t="s">
        <v>182</v>
      </c>
    </row>
    <row r="468" spans="1:7" x14ac:dyDescent="0.3">
      <c r="A468" s="42">
        <v>46145</v>
      </c>
      <c r="B468" s="43">
        <v>0.83171296296296293</v>
      </c>
      <c r="C468" t="s">
        <v>152</v>
      </c>
      <c r="D468" t="s">
        <v>44</v>
      </c>
      <c r="E468" t="s">
        <v>399</v>
      </c>
      <c r="F468">
        <v>7175</v>
      </c>
      <c r="G468" t="s">
        <v>154</v>
      </c>
    </row>
    <row r="469" spans="1:7" x14ac:dyDescent="0.3">
      <c r="A469" s="42">
        <v>46145</v>
      </c>
      <c r="B469" s="43">
        <v>0.76667824074074076</v>
      </c>
      <c r="C469" t="s">
        <v>152</v>
      </c>
      <c r="D469" t="s">
        <v>44</v>
      </c>
      <c r="E469" t="s">
        <v>306</v>
      </c>
      <c r="F469">
        <v>-16400</v>
      </c>
      <c r="G469" t="s">
        <v>180</v>
      </c>
    </row>
    <row r="470" spans="1:7" x14ac:dyDescent="0.3">
      <c r="A470" s="42">
        <v>46145</v>
      </c>
      <c r="B470" s="43">
        <v>0.74496527777777777</v>
      </c>
      <c r="C470" t="s">
        <v>155</v>
      </c>
      <c r="D470" t="s">
        <v>155</v>
      </c>
      <c r="E470" t="s">
        <v>210</v>
      </c>
      <c r="F470">
        <v>213000</v>
      </c>
      <c r="G470" t="s">
        <v>60</v>
      </c>
    </row>
    <row r="471" spans="1:7" x14ac:dyDescent="0.3">
      <c r="A471" s="42">
        <v>46145</v>
      </c>
      <c r="B471" s="43">
        <v>0.68583333333333329</v>
      </c>
      <c r="C471" t="s">
        <v>152</v>
      </c>
      <c r="D471" t="s">
        <v>37</v>
      </c>
      <c r="E471" t="s">
        <v>396</v>
      </c>
      <c r="F471">
        <v>-2000</v>
      </c>
      <c r="G471" t="s">
        <v>186</v>
      </c>
    </row>
    <row r="472" spans="1:7" x14ac:dyDescent="0.3">
      <c r="A472" s="42">
        <v>46145</v>
      </c>
      <c r="B472" s="43">
        <v>0.68005787037037035</v>
      </c>
      <c r="C472" t="s">
        <v>152</v>
      </c>
      <c r="D472" t="s">
        <v>44</v>
      </c>
      <c r="E472" t="s">
        <v>399</v>
      </c>
      <c r="F472">
        <v>-7175</v>
      </c>
      <c r="G472" t="s">
        <v>154</v>
      </c>
    </row>
    <row r="473" spans="1:7" x14ac:dyDescent="0.3">
      <c r="A473" s="42">
        <v>46145</v>
      </c>
      <c r="B473" s="43">
        <v>0.52957175925925926</v>
      </c>
      <c r="C473" t="s">
        <v>152</v>
      </c>
      <c r="D473" t="s">
        <v>47</v>
      </c>
      <c r="E473" t="s">
        <v>372</v>
      </c>
      <c r="F473">
        <v>-15600</v>
      </c>
      <c r="G473" t="s">
        <v>236</v>
      </c>
    </row>
    <row r="474" spans="1:7" x14ac:dyDescent="0.3">
      <c r="A474" s="42">
        <v>46145</v>
      </c>
      <c r="B474" s="43">
        <v>0.51019675925925922</v>
      </c>
      <c r="C474" t="s">
        <v>155</v>
      </c>
      <c r="D474" t="s">
        <v>155</v>
      </c>
      <c r="E474" t="s">
        <v>166</v>
      </c>
      <c r="F474">
        <v>-50000</v>
      </c>
      <c r="G474" t="s">
        <v>61</v>
      </c>
    </row>
    <row r="475" spans="1:7" x14ac:dyDescent="0.3">
      <c r="A475" s="42">
        <v>46145</v>
      </c>
      <c r="B475" s="43">
        <v>0.42707175925925928</v>
      </c>
      <c r="C475" t="s">
        <v>152</v>
      </c>
      <c r="D475" t="s">
        <v>36</v>
      </c>
      <c r="E475" t="s">
        <v>226</v>
      </c>
      <c r="F475">
        <v>-1600</v>
      </c>
      <c r="G475" t="s">
        <v>161</v>
      </c>
    </row>
    <row r="476" spans="1:7" x14ac:dyDescent="0.3">
      <c r="A476" s="42">
        <v>46145</v>
      </c>
      <c r="B476" s="43">
        <v>0.42707175925925928</v>
      </c>
      <c r="C476" t="s">
        <v>152</v>
      </c>
      <c r="D476" t="s">
        <v>36</v>
      </c>
      <c r="E476" t="s">
        <v>225</v>
      </c>
      <c r="F476">
        <v>-1800</v>
      </c>
      <c r="G476" t="s">
        <v>161</v>
      </c>
    </row>
    <row r="477" spans="1:7" x14ac:dyDescent="0.3">
      <c r="A477" s="42">
        <v>46144</v>
      </c>
      <c r="B477" s="43">
        <v>0.84347222222222218</v>
      </c>
      <c r="C477" t="s">
        <v>152</v>
      </c>
      <c r="D477" t="s">
        <v>44</v>
      </c>
      <c r="E477" t="s">
        <v>190</v>
      </c>
      <c r="F477">
        <v>-11770</v>
      </c>
      <c r="G477" t="s">
        <v>154</v>
      </c>
    </row>
    <row r="478" spans="1:7" x14ac:dyDescent="0.3">
      <c r="A478" s="42">
        <v>46144</v>
      </c>
      <c r="B478" s="43">
        <v>0.84229166666666666</v>
      </c>
      <c r="C478" t="s">
        <v>152</v>
      </c>
      <c r="D478" t="s">
        <v>44</v>
      </c>
      <c r="E478" t="s">
        <v>190</v>
      </c>
      <c r="F478">
        <v>-7300</v>
      </c>
      <c r="G478" t="s">
        <v>154</v>
      </c>
    </row>
    <row r="479" spans="1:7" x14ac:dyDescent="0.3">
      <c r="A479" s="42">
        <v>46144</v>
      </c>
      <c r="B479" s="43">
        <v>0.84078703703703705</v>
      </c>
      <c r="C479" t="s">
        <v>152</v>
      </c>
      <c r="D479" t="s">
        <v>40</v>
      </c>
      <c r="E479" t="s">
        <v>400</v>
      </c>
      <c r="F479">
        <v>-24900</v>
      </c>
      <c r="G479" t="s">
        <v>182</v>
      </c>
    </row>
    <row r="480" spans="1:7" x14ac:dyDescent="0.3">
      <c r="A480" s="42">
        <v>46144</v>
      </c>
      <c r="B480" s="43">
        <v>0.4573726851851852</v>
      </c>
      <c r="C480" t="s">
        <v>152</v>
      </c>
      <c r="D480" t="s">
        <v>40</v>
      </c>
      <c r="E480" t="s">
        <v>329</v>
      </c>
      <c r="F480">
        <v>-5000</v>
      </c>
      <c r="G480" t="s">
        <v>186</v>
      </c>
    </row>
    <row r="481" spans="1:7" x14ac:dyDescent="0.3">
      <c r="A481" s="42">
        <v>46144</v>
      </c>
      <c r="B481" s="43">
        <v>0.45265046296296302</v>
      </c>
      <c r="C481" t="s">
        <v>152</v>
      </c>
      <c r="D481" t="s">
        <v>45</v>
      </c>
      <c r="E481" t="s">
        <v>401</v>
      </c>
      <c r="F481">
        <v>-6900</v>
      </c>
      <c r="G481" t="s">
        <v>186</v>
      </c>
    </row>
    <row r="482" spans="1:7" x14ac:dyDescent="0.3">
      <c r="A482" s="42">
        <v>46144</v>
      </c>
      <c r="B482" s="43">
        <v>0.41333333333333327</v>
      </c>
      <c r="C482" t="s">
        <v>152</v>
      </c>
      <c r="D482" t="s">
        <v>36</v>
      </c>
      <c r="E482" t="s">
        <v>243</v>
      </c>
      <c r="F482">
        <v>-1500</v>
      </c>
      <c r="G482" t="s">
        <v>161</v>
      </c>
    </row>
    <row r="483" spans="1:7" x14ac:dyDescent="0.3">
      <c r="A483" s="42">
        <v>46144</v>
      </c>
      <c r="B483" s="43">
        <v>0.41333333333333327</v>
      </c>
      <c r="C483" t="s">
        <v>152</v>
      </c>
      <c r="D483" t="s">
        <v>36</v>
      </c>
      <c r="E483" t="s">
        <v>244</v>
      </c>
      <c r="F483">
        <v>-2000</v>
      </c>
      <c r="G483" t="s">
        <v>161</v>
      </c>
    </row>
    <row r="484" spans="1:7" x14ac:dyDescent="0.3">
      <c r="A484" s="42">
        <v>46144</v>
      </c>
      <c r="B484" s="43">
        <v>0.34</v>
      </c>
      <c r="C484" t="s">
        <v>152</v>
      </c>
      <c r="D484" t="s">
        <v>38</v>
      </c>
      <c r="E484" t="s">
        <v>402</v>
      </c>
      <c r="F484">
        <v>-5000</v>
      </c>
      <c r="G484" t="s">
        <v>186</v>
      </c>
    </row>
    <row r="485" spans="1:7" x14ac:dyDescent="0.3">
      <c r="A485" s="42">
        <v>46143</v>
      </c>
      <c r="B485" s="43">
        <v>0.70395833333333335</v>
      </c>
      <c r="C485" t="s">
        <v>155</v>
      </c>
      <c r="D485" t="s">
        <v>71</v>
      </c>
      <c r="E485" t="s">
        <v>327</v>
      </c>
      <c r="F485">
        <v>-270000</v>
      </c>
      <c r="G485" t="s">
        <v>60</v>
      </c>
    </row>
    <row r="486" spans="1:7" x14ac:dyDescent="0.3">
      <c r="A486" s="42">
        <v>46143</v>
      </c>
      <c r="B486" s="43">
        <v>0.60548611111111106</v>
      </c>
      <c r="C486" t="s">
        <v>155</v>
      </c>
      <c r="D486" t="s">
        <v>163</v>
      </c>
      <c r="E486" t="s">
        <v>7</v>
      </c>
      <c r="F486">
        <v>-6000000</v>
      </c>
      <c r="G486" t="s">
        <v>67</v>
      </c>
    </row>
    <row r="487" spans="1:7" x14ac:dyDescent="0.3">
      <c r="A487" s="42">
        <v>46143</v>
      </c>
      <c r="B487" s="43">
        <v>0.60548611111111106</v>
      </c>
      <c r="C487" t="s">
        <v>155</v>
      </c>
      <c r="D487" t="s">
        <v>163</v>
      </c>
      <c r="E487" t="s">
        <v>7</v>
      </c>
      <c r="F487">
        <v>6000000</v>
      </c>
      <c r="G487" t="s">
        <v>61</v>
      </c>
    </row>
    <row r="488" spans="1:7" x14ac:dyDescent="0.3">
      <c r="A488" s="42">
        <v>46143</v>
      </c>
      <c r="B488" s="43">
        <v>0.55559027777777781</v>
      </c>
      <c r="C488" t="s">
        <v>152</v>
      </c>
      <c r="D488" t="s">
        <v>38</v>
      </c>
      <c r="E488" t="s">
        <v>403</v>
      </c>
      <c r="F488">
        <v>-10000</v>
      </c>
      <c r="G488" t="s">
        <v>186</v>
      </c>
    </row>
    <row r="489" spans="1:7" x14ac:dyDescent="0.3">
      <c r="A489" s="42">
        <v>46143</v>
      </c>
      <c r="B489" s="43">
        <v>0.52495370370370376</v>
      </c>
      <c r="C489" t="s">
        <v>152</v>
      </c>
      <c r="D489" t="s">
        <v>42</v>
      </c>
      <c r="E489" t="s">
        <v>404</v>
      </c>
      <c r="F489">
        <v>-46000</v>
      </c>
      <c r="G489" t="s">
        <v>186</v>
      </c>
    </row>
    <row r="490" spans="1:7" x14ac:dyDescent="0.3">
      <c r="A490" s="42">
        <v>46143</v>
      </c>
      <c r="B490" s="43">
        <v>0.43930555555555562</v>
      </c>
      <c r="C490" t="s">
        <v>152</v>
      </c>
      <c r="D490" t="s">
        <v>36</v>
      </c>
      <c r="E490" t="s">
        <v>243</v>
      </c>
      <c r="F490">
        <v>-1500</v>
      </c>
      <c r="G490" t="s">
        <v>161</v>
      </c>
    </row>
    <row r="491" spans="1:7" x14ac:dyDescent="0.3">
      <c r="A491" s="42">
        <v>46143</v>
      </c>
      <c r="B491" s="43">
        <v>0.43930555555555562</v>
      </c>
      <c r="C491" t="s">
        <v>152</v>
      </c>
      <c r="D491" t="s">
        <v>36</v>
      </c>
      <c r="E491" t="s">
        <v>244</v>
      </c>
      <c r="F491">
        <v>-2000</v>
      </c>
      <c r="G491" t="s">
        <v>161</v>
      </c>
    </row>
    <row r="492" spans="1:7" x14ac:dyDescent="0.3">
      <c r="A492" s="42">
        <v>46142</v>
      </c>
      <c r="B492" s="43">
        <v>0.79210648148148144</v>
      </c>
      <c r="C492" t="s">
        <v>152</v>
      </c>
      <c r="D492" t="s">
        <v>49</v>
      </c>
      <c r="E492" t="s">
        <v>405</v>
      </c>
      <c r="F492">
        <v>-15700</v>
      </c>
      <c r="G492" t="s">
        <v>266</v>
      </c>
    </row>
    <row r="493" spans="1:7" x14ac:dyDescent="0.3">
      <c r="A493" s="42">
        <v>46142</v>
      </c>
      <c r="B493" s="43">
        <v>0.43456018518518519</v>
      </c>
      <c r="C493" t="s">
        <v>155</v>
      </c>
      <c r="D493" t="s">
        <v>155</v>
      </c>
      <c r="E493" t="s">
        <v>219</v>
      </c>
      <c r="F493">
        <v>-300000</v>
      </c>
      <c r="G493" t="s">
        <v>60</v>
      </c>
    </row>
    <row r="494" spans="1:7" x14ac:dyDescent="0.3">
      <c r="A494" s="42">
        <v>46142</v>
      </c>
      <c r="B494" s="43">
        <v>0.4113310185185185</v>
      </c>
      <c r="C494" t="s">
        <v>152</v>
      </c>
      <c r="D494" t="s">
        <v>36</v>
      </c>
      <c r="E494" t="s">
        <v>243</v>
      </c>
      <c r="F494">
        <v>-1500</v>
      </c>
      <c r="G494" t="s">
        <v>161</v>
      </c>
    </row>
    <row r="495" spans="1:7" x14ac:dyDescent="0.3">
      <c r="A495" s="42">
        <v>46142</v>
      </c>
      <c r="B495" s="43">
        <v>0.4113310185185185</v>
      </c>
      <c r="C495" t="s">
        <v>152</v>
      </c>
      <c r="D495" t="s">
        <v>36</v>
      </c>
      <c r="E495" t="s">
        <v>244</v>
      </c>
      <c r="F495">
        <v>-2000</v>
      </c>
      <c r="G495" t="s">
        <v>161</v>
      </c>
    </row>
    <row r="496" spans="1:7" x14ac:dyDescent="0.3">
      <c r="A496" s="42">
        <v>46142</v>
      </c>
      <c r="B496" s="43">
        <v>0.39932870370370371</v>
      </c>
      <c r="C496" t="s">
        <v>152</v>
      </c>
      <c r="D496" t="s">
        <v>50</v>
      </c>
      <c r="E496" t="s">
        <v>184</v>
      </c>
      <c r="F496">
        <v>-1600</v>
      </c>
      <c r="G496" t="s">
        <v>266</v>
      </c>
    </row>
    <row r="497" spans="1:7" x14ac:dyDescent="0.3">
      <c r="A497" s="42">
        <v>46141</v>
      </c>
      <c r="B497" s="43">
        <v>0.54122685185185182</v>
      </c>
      <c r="C497" t="s">
        <v>152</v>
      </c>
      <c r="D497" t="s">
        <v>50</v>
      </c>
      <c r="E497" t="s">
        <v>184</v>
      </c>
      <c r="F497">
        <v>-12300</v>
      </c>
      <c r="G497" t="s">
        <v>266</v>
      </c>
    </row>
    <row r="498" spans="1:7" x14ac:dyDescent="0.3">
      <c r="A498" s="42">
        <v>46140</v>
      </c>
      <c r="B498" s="43">
        <v>0.65474537037037039</v>
      </c>
      <c r="C498" t="s">
        <v>152</v>
      </c>
      <c r="D498" t="s">
        <v>50</v>
      </c>
      <c r="E498" t="s">
        <v>184</v>
      </c>
      <c r="F498">
        <v>-1600</v>
      </c>
      <c r="G498" t="s">
        <v>266</v>
      </c>
    </row>
    <row r="499" spans="1:7" x14ac:dyDescent="0.3">
      <c r="A499" s="42">
        <v>46140</v>
      </c>
      <c r="B499" s="43">
        <v>0.41265046296296298</v>
      </c>
      <c r="C499" t="s">
        <v>152</v>
      </c>
      <c r="D499" t="s">
        <v>50</v>
      </c>
      <c r="E499" t="s">
        <v>184</v>
      </c>
      <c r="F499">
        <v>-1600</v>
      </c>
      <c r="G499" t="s">
        <v>266</v>
      </c>
    </row>
    <row r="500" spans="1:7" x14ac:dyDescent="0.3">
      <c r="A500" s="42">
        <v>46139</v>
      </c>
      <c r="B500" s="43">
        <v>0.84763888888888894</v>
      </c>
      <c r="C500" t="s">
        <v>152</v>
      </c>
      <c r="D500" t="s">
        <v>37</v>
      </c>
      <c r="E500" t="s">
        <v>406</v>
      </c>
      <c r="F500">
        <v>-20000</v>
      </c>
      <c r="G500" t="s">
        <v>61</v>
      </c>
    </row>
    <row r="501" spans="1:7" x14ac:dyDescent="0.3">
      <c r="A501" s="42">
        <v>46139</v>
      </c>
      <c r="B501" s="43">
        <v>0.80833333333333335</v>
      </c>
      <c r="C501" t="s">
        <v>152</v>
      </c>
      <c r="D501" t="s">
        <v>37</v>
      </c>
      <c r="E501" t="s">
        <v>407</v>
      </c>
      <c r="F501">
        <v>-153178</v>
      </c>
      <c r="G501" t="s">
        <v>60</v>
      </c>
    </row>
    <row r="502" spans="1:7" x14ac:dyDescent="0.3">
      <c r="A502" s="42">
        <v>46139</v>
      </c>
      <c r="B502" s="43">
        <v>0.80696759259259254</v>
      </c>
      <c r="C502" t="s">
        <v>152</v>
      </c>
      <c r="D502" t="s">
        <v>40</v>
      </c>
      <c r="E502" t="s">
        <v>408</v>
      </c>
      <c r="F502">
        <v>-258304</v>
      </c>
      <c r="G502" t="s">
        <v>61</v>
      </c>
    </row>
    <row r="503" spans="1:7" x14ac:dyDescent="0.3">
      <c r="A503" s="42">
        <v>46139</v>
      </c>
      <c r="B503" s="43">
        <v>0.49186342592592591</v>
      </c>
      <c r="C503" t="s">
        <v>155</v>
      </c>
      <c r="D503" t="s">
        <v>163</v>
      </c>
      <c r="E503" t="s">
        <v>223</v>
      </c>
      <c r="F503">
        <v>23</v>
      </c>
      <c r="G503" t="s">
        <v>68</v>
      </c>
    </row>
    <row r="504" spans="1:7" x14ac:dyDescent="0.3">
      <c r="A504" s="42">
        <v>46139</v>
      </c>
      <c r="B504" s="43">
        <v>0.49186342592592591</v>
      </c>
      <c r="C504" t="s">
        <v>155</v>
      </c>
      <c r="D504" t="s">
        <v>163</v>
      </c>
      <c r="E504" t="s">
        <v>68</v>
      </c>
      <c r="F504">
        <v>-23</v>
      </c>
      <c r="G504" t="s">
        <v>67</v>
      </c>
    </row>
    <row r="505" spans="1:7" x14ac:dyDescent="0.3">
      <c r="A505" s="42">
        <v>46139</v>
      </c>
      <c r="B505" s="43">
        <v>0.41325231481481478</v>
      </c>
      <c r="C505" t="s">
        <v>152</v>
      </c>
      <c r="D505" t="s">
        <v>36</v>
      </c>
      <c r="E505" t="s">
        <v>243</v>
      </c>
      <c r="F505">
        <v>-1500</v>
      </c>
      <c r="G505" t="s">
        <v>161</v>
      </c>
    </row>
    <row r="506" spans="1:7" x14ac:dyDescent="0.3">
      <c r="A506" s="42">
        <v>46139</v>
      </c>
      <c r="B506" s="43">
        <v>0.41325231481481478</v>
      </c>
      <c r="C506" t="s">
        <v>152</v>
      </c>
      <c r="D506" t="s">
        <v>36</v>
      </c>
      <c r="E506" t="s">
        <v>244</v>
      </c>
      <c r="F506">
        <v>-1900</v>
      </c>
      <c r="G506" t="s">
        <v>161</v>
      </c>
    </row>
    <row r="507" spans="1:7" x14ac:dyDescent="0.3">
      <c r="A507" s="42">
        <v>46139</v>
      </c>
      <c r="B507" s="43">
        <v>0.39939814814814822</v>
      </c>
      <c r="C507" t="s">
        <v>152</v>
      </c>
      <c r="D507" t="s">
        <v>50</v>
      </c>
      <c r="E507" t="s">
        <v>184</v>
      </c>
      <c r="F507">
        <v>-1600</v>
      </c>
      <c r="G507" t="s">
        <v>266</v>
      </c>
    </row>
    <row r="508" spans="1:7" x14ac:dyDescent="0.3">
      <c r="A508" s="42">
        <v>46139</v>
      </c>
      <c r="B508" s="43">
        <v>0.39581018518518518</v>
      </c>
      <c r="C508" t="s">
        <v>152</v>
      </c>
      <c r="D508" t="s">
        <v>44</v>
      </c>
      <c r="E508" t="s">
        <v>190</v>
      </c>
      <c r="F508">
        <v>-8200</v>
      </c>
      <c r="G508" t="s">
        <v>154</v>
      </c>
    </row>
    <row r="509" spans="1:7" x14ac:dyDescent="0.3">
      <c r="A509" s="42">
        <v>46138</v>
      </c>
      <c r="B509" s="43">
        <v>0.88725694444444447</v>
      </c>
      <c r="C509" t="s">
        <v>152</v>
      </c>
      <c r="D509" t="s">
        <v>40</v>
      </c>
      <c r="E509" t="s">
        <v>409</v>
      </c>
      <c r="F509">
        <v>-4000</v>
      </c>
      <c r="G509" t="s">
        <v>266</v>
      </c>
    </row>
    <row r="510" spans="1:7" x14ac:dyDescent="0.3">
      <c r="A510" s="42">
        <v>46138</v>
      </c>
      <c r="B510" s="43">
        <v>0.42021990740740739</v>
      </c>
      <c r="C510" t="s">
        <v>152</v>
      </c>
      <c r="D510" t="s">
        <v>38</v>
      </c>
      <c r="E510" t="s">
        <v>410</v>
      </c>
      <c r="F510">
        <v>-2200</v>
      </c>
      <c r="G510" t="s">
        <v>266</v>
      </c>
    </row>
    <row r="511" spans="1:7" x14ac:dyDescent="0.3">
      <c r="A511" s="42">
        <v>46138</v>
      </c>
      <c r="B511" s="43">
        <v>0.40971064814814823</v>
      </c>
      <c r="C511" t="s">
        <v>152</v>
      </c>
      <c r="D511" t="s">
        <v>36</v>
      </c>
      <c r="E511" t="s">
        <v>226</v>
      </c>
      <c r="F511">
        <v>-3000</v>
      </c>
      <c r="G511" t="s">
        <v>161</v>
      </c>
    </row>
    <row r="512" spans="1:7" x14ac:dyDescent="0.3">
      <c r="A512" s="42">
        <v>46138</v>
      </c>
      <c r="B512" s="43">
        <v>0.40971064814814823</v>
      </c>
      <c r="C512" t="s">
        <v>152</v>
      </c>
      <c r="D512" t="s">
        <v>36</v>
      </c>
      <c r="E512" t="s">
        <v>365</v>
      </c>
      <c r="F512">
        <v>-4000</v>
      </c>
      <c r="G512" t="s">
        <v>161</v>
      </c>
    </row>
    <row r="513" spans="1:7" x14ac:dyDescent="0.3">
      <c r="A513" s="42">
        <v>46138</v>
      </c>
      <c r="B513" s="43">
        <v>0.40554398148148152</v>
      </c>
      <c r="C513" t="s">
        <v>152</v>
      </c>
      <c r="D513" t="s">
        <v>49</v>
      </c>
      <c r="E513" t="s">
        <v>411</v>
      </c>
      <c r="F513">
        <v>-1800</v>
      </c>
      <c r="G513" t="s">
        <v>266</v>
      </c>
    </row>
    <row r="514" spans="1:7" x14ac:dyDescent="0.3">
      <c r="A514" s="42">
        <v>46138</v>
      </c>
      <c r="B514" s="43">
        <v>0</v>
      </c>
      <c r="C514" t="s">
        <v>152</v>
      </c>
      <c r="D514" t="s">
        <v>44</v>
      </c>
      <c r="E514" t="s">
        <v>259</v>
      </c>
      <c r="F514">
        <v>44000</v>
      </c>
      <c r="G514" t="s">
        <v>186</v>
      </c>
    </row>
    <row r="515" spans="1:7" x14ac:dyDescent="0.3">
      <c r="A515" s="42">
        <v>46138</v>
      </c>
      <c r="B515" s="43">
        <v>0</v>
      </c>
      <c r="C515" t="s">
        <v>152</v>
      </c>
      <c r="D515" t="s">
        <v>44</v>
      </c>
      <c r="E515" t="s">
        <v>399</v>
      </c>
      <c r="F515">
        <v>10000</v>
      </c>
      <c r="G515" t="s">
        <v>154</v>
      </c>
    </row>
    <row r="516" spans="1:7" x14ac:dyDescent="0.3">
      <c r="A516" s="42">
        <v>46137</v>
      </c>
      <c r="B516" s="43">
        <v>0.89285879629629628</v>
      </c>
      <c r="C516" t="s">
        <v>155</v>
      </c>
      <c r="D516" t="s">
        <v>163</v>
      </c>
      <c r="E516" t="s">
        <v>164</v>
      </c>
      <c r="F516">
        <v>47600</v>
      </c>
      <c r="G516" t="s">
        <v>158</v>
      </c>
    </row>
    <row r="517" spans="1:7" x14ac:dyDescent="0.3">
      <c r="A517" s="42">
        <v>46137</v>
      </c>
      <c r="B517" s="43">
        <v>0.89285879629629628</v>
      </c>
      <c r="C517" t="s">
        <v>155</v>
      </c>
      <c r="D517" t="s">
        <v>155</v>
      </c>
      <c r="E517" t="s">
        <v>412</v>
      </c>
      <c r="F517">
        <v>-50000</v>
      </c>
      <c r="G517" t="s">
        <v>158</v>
      </c>
    </row>
    <row r="518" spans="1:7" x14ac:dyDescent="0.3">
      <c r="A518" s="42">
        <v>46137</v>
      </c>
      <c r="B518" s="43">
        <v>0.89285879629629628</v>
      </c>
      <c r="C518" t="s">
        <v>155</v>
      </c>
      <c r="D518" t="s">
        <v>163</v>
      </c>
      <c r="E518" t="s">
        <v>166</v>
      </c>
      <c r="F518">
        <v>-47600</v>
      </c>
      <c r="G518" t="s">
        <v>61</v>
      </c>
    </row>
    <row r="519" spans="1:7" x14ac:dyDescent="0.3">
      <c r="A519" s="42">
        <v>46137</v>
      </c>
      <c r="B519" s="43">
        <v>0.66517361111111106</v>
      </c>
      <c r="C519" t="s">
        <v>152</v>
      </c>
      <c r="D519" t="s">
        <v>40</v>
      </c>
      <c r="E519" t="s">
        <v>413</v>
      </c>
      <c r="F519">
        <v>-2000</v>
      </c>
      <c r="G519" t="s">
        <v>266</v>
      </c>
    </row>
    <row r="520" spans="1:7" x14ac:dyDescent="0.3">
      <c r="A520" s="42">
        <v>46137</v>
      </c>
      <c r="B520" s="43">
        <v>0.59712962962962968</v>
      </c>
      <c r="C520" t="s">
        <v>152</v>
      </c>
      <c r="D520" t="s">
        <v>46</v>
      </c>
      <c r="E520" t="s">
        <v>414</v>
      </c>
      <c r="F520">
        <v>44000</v>
      </c>
      <c r="G520" t="s">
        <v>182</v>
      </c>
    </row>
    <row r="521" spans="1:7" x14ac:dyDescent="0.3">
      <c r="A521" s="42">
        <v>46137</v>
      </c>
      <c r="B521" s="43">
        <v>0.54855324074074074</v>
      </c>
      <c r="C521" t="s">
        <v>152</v>
      </c>
      <c r="D521" t="s">
        <v>49</v>
      </c>
      <c r="E521" t="s">
        <v>338</v>
      </c>
      <c r="F521">
        <v>-3710</v>
      </c>
      <c r="G521" t="s">
        <v>154</v>
      </c>
    </row>
    <row r="522" spans="1:7" x14ac:dyDescent="0.3">
      <c r="A522" s="42">
        <v>46137</v>
      </c>
      <c r="B522" s="43">
        <v>0.48924768518518519</v>
      </c>
      <c r="C522" t="s">
        <v>152</v>
      </c>
      <c r="D522" t="s">
        <v>45</v>
      </c>
      <c r="E522" t="s">
        <v>415</v>
      </c>
      <c r="F522">
        <v>-2000</v>
      </c>
      <c r="G522" t="s">
        <v>266</v>
      </c>
    </row>
    <row r="523" spans="1:7" x14ac:dyDescent="0.3">
      <c r="A523" s="42">
        <v>46137</v>
      </c>
      <c r="B523" s="43">
        <v>0.48813657407407413</v>
      </c>
      <c r="C523" t="s">
        <v>152</v>
      </c>
      <c r="D523" t="s">
        <v>45</v>
      </c>
      <c r="E523" t="s">
        <v>415</v>
      </c>
      <c r="F523">
        <v>-9300</v>
      </c>
      <c r="G523" t="s">
        <v>266</v>
      </c>
    </row>
    <row r="524" spans="1:7" x14ac:dyDescent="0.3">
      <c r="A524" s="42">
        <v>46137</v>
      </c>
      <c r="B524" s="43">
        <v>0.4558564814814815</v>
      </c>
      <c r="C524" t="s">
        <v>155</v>
      </c>
      <c r="D524" t="s">
        <v>163</v>
      </c>
      <c r="E524" t="s">
        <v>7</v>
      </c>
      <c r="F524">
        <v>8615203</v>
      </c>
      <c r="G524" t="s">
        <v>61</v>
      </c>
    </row>
    <row r="525" spans="1:7" x14ac:dyDescent="0.3">
      <c r="A525" s="42">
        <v>46137</v>
      </c>
      <c r="B525" s="43">
        <v>0.1796527777777778</v>
      </c>
      <c r="C525" t="s">
        <v>176</v>
      </c>
      <c r="D525" t="s">
        <v>28</v>
      </c>
      <c r="E525" t="s">
        <v>240</v>
      </c>
      <c r="F525">
        <v>23</v>
      </c>
      <c r="G525" t="s">
        <v>67</v>
      </c>
    </row>
    <row r="526" spans="1:7" x14ac:dyDescent="0.3">
      <c r="A526" s="42">
        <v>46137</v>
      </c>
      <c r="B526" s="43">
        <v>0.17372685185185191</v>
      </c>
      <c r="C526" t="s">
        <v>176</v>
      </c>
      <c r="D526" t="s">
        <v>28</v>
      </c>
      <c r="E526" t="s">
        <v>240</v>
      </c>
      <c r="F526">
        <v>197</v>
      </c>
      <c r="G526" t="s">
        <v>67</v>
      </c>
    </row>
    <row r="527" spans="1:7" x14ac:dyDescent="0.3">
      <c r="A527" s="42">
        <v>46137</v>
      </c>
      <c r="B527" s="43">
        <v>0.12076388888888891</v>
      </c>
      <c r="C527" t="s">
        <v>176</v>
      </c>
      <c r="D527" t="s">
        <v>28</v>
      </c>
      <c r="E527" t="s">
        <v>241</v>
      </c>
      <c r="F527">
        <v>0</v>
      </c>
      <c r="G527" t="s">
        <v>63</v>
      </c>
    </row>
    <row r="528" spans="1:7" x14ac:dyDescent="0.3">
      <c r="A528" s="42">
        <v>46137</v>
      </c>
      <c r="B528" s="43">
        <v>9.0393518518518512E-2</v>
      </c>
      <c r="C528" t="s">
        <v>155</v>
      </c>
      <c r="D528" t="s">
        <v>217</v>
      </c>
      <c r="E528" t="s">
        <v>242</v>
      </c>
      <c r="F528">
        <v>110</v>
      </c>
      <c r="G528" t="s">
        <v>68</v>
      </c>
    </row>
    <row r="529" spans="1:7" x14ac:dyDescent="0.3">
      <c r="A529" s="42">
        <v>46136</v>
      </c>
      <c r="B529" s="43">
        <v>0.80116898148148152</v>
      </c>
      <c r="C529" t="s">
        <v>152</v>
      </c>
      <c r="D529" t="s">
        <v>49</v>
      </c>
      <c r="E529" t="s">
        <v>416</v>
      </c>
      <c r="F529">
        <v>-7900</v>
      </c>
      <c r="G529" t="s">
        <v>199</v>
      </c>
    </row>
    <row r="530" spans="1:7" x14ac:dyDescent="0.3">
      <c r="A530" s="42">
        <v>46136</v>
      </c>
      <c r="B530" s="43">
        <v>0.74780092592592595</v>
      </c>
      <c r="C530" t="s">
        <v>152</v>
      </c>
      <c r="D530" t="s">
        <v>42</v>
      </c>
      <c r="E530" t="s">
        <v>183</v>
      </c>
      <c r="F530">
        <v>-6200</v>
      </c>
      <c r="G530" t="s">
        <v>154</v>
      </c>
    </row>
    <row r="531" spans="1:7" x14ac:dyDescent="0.3">
      <c r="A531" s="42">
        <v>46136</v>
      </c>
      <c r="B531" s="43">
        <v>0.67462962962962958</v>
      </c>
      <c r="C531" t="s">
        <v>152</v>
      </c>
      <c r="D531" t="s">
        <v>44</v>
      </c>
      <c r="E531" t="s">
        <v>399</v>
      </c>
      <c r="F531">
        <v>-28125</v>
      </c>
      <c r="G531" t="s">
        <v>154</v>
      </c>
    </row>
    <row r="532" spans="1:7" x14ac:dyDescent="0.3">
      <c r="A532" s="42">
        <v>46136</v>
      </c>
      <c r="B532" s="43">
        <v>0.51282407407407404</v>
      </c>
      <c r="C532" t="s">
        <v>152</v>
      </c>
      <c r="D532" t="s">
        <v>50</v>
      </c>
      <c r="E532" t="s">
        <v>184</v>
      </c>
      <c r="F532">
        <v>-7300</v>
      </c>
      <c r="G532" t="s">
        <v>266</v>
      </c>
    </row>
    <row r="533" spans="1:7" x14ac:dyDescent="0.3">
      <c r="A533" s="42">
        <v>46136</v>
      </c>
      <c r="B533" s="43">
        <v>0.41525462962962961</v>
      </c>
      <c r="C533" t="s">
        <v>152</v>
      </c>
      <c r="D533" t="s">
        <v>36</v>
      </c>
      <c r="E533" t="s">
        <v>243</v>
      </c>
      <c r="F533">
        <v>-1500</v>
      </c>
      <c r="G533" t="s">
        <v>161</v>
      </c>
    </row>
    <row r="534" spans="1:7" x14ac:dyDescent="0.3">
      <c r="A534" s="42">
        <v>46136</v>
      </c>
      <c r="B534" s="43">
        <v>0.41525462962962961</v>
      </c>
      <c r="C534" t="s">
        <v>152</v>
      </c>
      <c r="D534" t="s">
        <v>36</v>
      </c>
      <c r="E534" t="s">
        <v>244</v>
      </c>
      <c r="F534">
        <v>-1900</v>
      </c>
      <c r="G534" t="s">
        <v>161</v>
      </c>
    </row>
    <row r="535" spans="1:7" x14ac:dyDescent="0.3">
      <c r="A535" s="42">
        <v>46136</v>
      </c>
      <c r="B535" s="43">
        <v>9.0520833333333328E-2</v>
      </c>
      <c r="C535" t="s">
        <v>176</v>
      </c>
      <c r="D535" t="s">
        <v>29</v>
      </c>
      <c r="E535" t="s">
        <v>249</v>
      </c>
      <c r="F535">
        <v>100000</v>
      </c>
      <c r="G535" t="s">
        <v>64</v>
      </c>
    </row>
    <row r="536" spans="1:7" x14ac:dyDescent="0.3">
      <c r="A536" s="42">
        <v>46136</v>
      </c>
      <c r="B536" s="43">
        <v>4.2372685185185187E-2</v>
      </c>
      <c r="C536" t="s">
        <v>152</v>
      </c>
      <c r="D536" t="s">
        <v>48</v>
      </c>
      <c r="E536" t="s">
        <v>251</v>
      </c>
      <c r="F536">
        <v>-300</v>
      </c>
      <c r="G536" t="s">
        <v>154</v>
      </c>
    </row>
    <row r="537" spans="1:7" x14ac:dyDescent="0.3">
      <c r="A537" s="42">
        <v>46135</v>
      </c>
      <c r="B537" s="43">
        <v>0.82956018518518515</v>
      </c>
      <c r="C537" t="s">
        <v>152</v>
      </c>
      <c r="D537" t="s">
        <v>37</v>
      </c>
      <c r="E537" t="s">
        <v>417</v>
      </c>
      <c r="F537">
        <v>-16900</v>
      </c>
      <c r="G537" t="s">
        <v>60</v>
      </c>
    </row>
    <row r="538" spans="1:7" x14ac:dyDescent="0.3">
      <c r="A538" s="42">
        <v>46135</v>
      </c>
      <c r="B538" s="43">
        <v>0.81836805555555558</v>
      </c>
      <c r="C538" t="s">
        <v>152</v>
      </c>
      <c r="D538" t="s">
        <v>37</v>
      </c>
      <c r="E538" t="s">
        <v>418</v>
      </c>
      <c r="F538">
        <v>-14261</v>
      </c>
      <c r="G538" t="s">
        <v>61</v>
      </c>
    </row>
    <row r="539" spans="1:7" x14ac:dyDescent="0.3">
      <c r="A539" s="42">
        <v>46135</v>
      </c>
      <c r="B539" s="43">
        <v>0.76074074074074072</v>
      </c>
      <c r="C539" t="s">
        <v>152</v>
      </c>
      <c r="D539" t="s">
        <v>42</v>
      </c>
      <c r="E539" t="s">
        <v>419</v>
      </c>
      <c r="F539">
        <v>-2000</v>
      </c>
      <c r="G539" t="s">
        <v>236</v>
      </c>
    </row>
    <row r="540" spans="1:7" x14ac:dyDescent="0.3">
      <c r="A540" s="42">
        <v>46135</v>
      </c>
      <c r="B540" s="43">
        <v>0.75907407407407412</v>
      </c>
      <c r="C540" t="s">
        <v>152</v>
      </c>
      <c r="D540" t="s">
        <v>37</v>
      </c>
      <c r="E540" t="s">
        <v>256</v>
      </c>
      <c r="F540">
        <v>-297438</v>
      </c>
      <c r="G540" t="s">
        <v>67</v>
      </c>
    </row>
    <row r="541" spans="1:7" x14ac:dyDescent="0.3">
      <c r="A541" s="42">
        <v>46135</v>
      </c>
      <c r="B541" s="43">
        <v>0.65391203703703704</v>
      </c>
      <c r="C541" t="s">
        <v>152</v>
      </c>
      <c r="D541" t="s">
        <v>49</v>
      </c>
      <c r="E541" t="s">
        <v>288</v>
      </c>
      <c r="F541">
        <v>-9400</v>
      </c>
      <c r="G541" t="s">
        <v>266</v>
      </c>
    </row>
    <row r="542" spans="1:7" x14ac:dyDescent="0.3">
      <c r="A542" s="42">
        <v>46135</v>
      </c>
      <c r="B542" s="43">
        <v>0.54866898148148147</v>
      </c>
      <c r="C542" t="s">
        <v>152</v>
      </c>
      <c r="D542" t="s">
        <v>42</v>
      </c>
      <c r="E542" t="s">
        <v>420</v>
      </c>
      <c r="F542">
        <v>-12000</v>
      </c>
      <c r="G542" t="s">
        <v>266</v>
      </c>
    </row>
    <row r="543" spans="1:7" x14ac:dyDescent="0.3">
      <c r="A543" s="42">
        <v>46135</v>
      </c>
      <c r="B543" s="43">
        <v>0.54152777777777783</v>
      </c>
      <c r="C543" t="s">
        <v>155</v>
      </c>
      <c r="D543" t="s">
        <v>163</v>
      </c>
      <c r="E543" t="s">
        <v>164</v>
      </c>
      <c r="F543">
        <v>10000</v>
      </c>
      <c r="G543" t="s">
        <v>158</v>
      </c>
    </row>
    <row r="544" spans="1:7" x14ac:dyDescent="0.3">
      <c r="A544" s="42">
        <v>46135</v>
      </c>
      <c r="B544" s="43">
        <v>0.54152777777777783</v>
      </c>
      <c r="C544" t="s">
        <v>152</v>
      </c>
      <c r="D544" t="s">
        <v>44</v>
      </c>
      <c r="E544" t="s">
        <v>421</v>
      </c>
      <c r="F544">
        <v>-9900</v>
      </c>
      <c r="G544" t="s">
        <v>236</v>
      </c>
    </row>
    <row r="545" spans="1:7" x14ac:dyDescent="0.3">
      <c r="A545" s="42">
        <v>46135</v>
      </c>
      <c r="B545" s="43">
        <v>0.54152777777777783</v>
      </c>
      <c r="C545" t="s">
        <v>155</v>
      </c>
      <c r="D545" t="s">
        <v>163</v>
      </c>
      <c r="E545" t="s">
        <v>166</v>
      </c>
      <c r="F545">
        <v>-10000</v>
      </c>
      <c r="G545" t="s">
        <v>61</v>
      </c>
    </row>
    <row r="546" spans="1:7" x14ac:dyDescent="0.3">
      <c r="A546" s="42">
        <v>46135</v>
      </c>
      <c r="B546" s="43">
        <v>0.47306712962962971</v>
      </c>
      <c r="C546" t="s">
        <v>155</v>
      </c>
      <c r="D546" t="s">
        <v>163</v>
      </c>
      <c r="E546" t="s">
        <v>223</v>
      </c>
      <c r="F546">
        <v>370</v>
      </c>
      <c r="G546" t="s">
        <v>68</v>
      </c>
    </row>
    <row r="547" spans="1:7" x14ac:dyDescent="0.3">
      <c r="A547" s="42">
        <v>46135</v>
      </c>
      <c r="B547" s="43">
        <v>0.47306712962962971</v>
      </c>
      <c r="C547" t="s">
        <v>155</v>
      </c>
      <c r="D547" t="s">
        <v>163</v>
      </c>
      <c r="E547" t="s">
        <v>68</v>
      </c>
      <c r="F547">
        <v>-370</v>
      </c>
      <c r="G547" t="s">
        <v>67</v>
      </c>
    </row>
    <row r="548" spans="1:7" x14ac:dyDescent="0.3">
      <c r="A548" s="42">
        <v>46134</v>
      </c>
      <c r="B548" s="43">
        <v>0.97920138888888886</v>
      </c>
      <c r="C548" t="s">
        <v>155</v>
      </c>
      <c r="D548" t="s">
        <v>155</v>
      </c>
      <c r="E548" t="s">
        <v>422</v>
      </c>
      <c r="F548">
        <v>3000000</v>
      </c>
      <c r="G548" t="s">
        <v>67</v>
      </c>
    </row>
    <row r="549" spans="1:7" x14ac:dyDescent="0.3">
      <c r="A549" s="42">
        <v>46134</v>
      </c>
      <c r="B549" s="43">
        <v>0.40197916666666672</v>
      </c>
      <c r="C549" t="s">
        <v>152</v>
      </c>
      <c r="D549" t="s">
        <v>37</v>
      </c>
      <c r="E549" t="s">
        <v>165</v>
      </c>
      <c r="F549">
        <v>-19700</v>
      </c>
      <c r="G549" t="s">
        <v>158</v>
      </c>
    </row>
    <row r="550" spans="1:7" x14ac:dyDescent="0.3">
      <c r="A550" s="42">
        <v>46134</v>
      </c>
      <c r="B550" s="43">
        <v>0.39871527777777782</v>
      </c>
      <c r="C550" t="s">
        <v>152</v>
      </c>
      <c r="D550" t="s">
        <v>50</v>
      </c>
      <c r="E550" t="s">
        <v>184</v>
      </c>
      <c r="F550">
        <v>-1600</v>
      </c>
      <c r="G550" t="s">
        <v>266</v>
      </c>
    </row>
    <row r="551" spans="1:7" x14ac:dyDescent="0.3">
      <c r="A551" s="42">
        <v>46134</v>
      </c>
      <c r="B551" s="43">
        <v>0.35567129629629629</v>
      </c>
      <c r="C551" t="s">
        <v>152</v>
      </c>
      <c r="D551" t="s">
        <v>37</v>
      </c>
      <c r="E551" t="s">
        <v>366</v>
      </c>
      <c r="F551">
        <v>-241630</v>
      </c>
      <c r="G551" t="s">
        <v>67</v>
      </c>
    </row>
    <row r="552" spans="1:7" x14ac:dyDescent="0.3">
      <c r="A552" s="42">
        <v>46133</v>
      </c>
      <c r="B552" s="43">
        <v>0.87314814814814812</v>
      </c>
      <c r="C552" t="s">
        <v>152</v>
      </c>
      <c r="D552" t="s">
        <v>47</v>
      </c>
      <c r="E552" t="s">
        <v>423</v>
      </c>
      <c r="F552">
        <v>-50000</v>
      </c>
      <c r="G552" t="s">
        <v>266</v>
      </c>
    </row>
    <row r="553" spans="1:7" x14ac:dyDescent="0.3">
      <c r="A553" s="42">
        <v>46133</v>
      </c>
      <c r="B553" s="43">
        <v>0.50195601851851857</v>
      </c>
      <c r="C553" t="s">
        <v>152</v>
      </c>
      <c r="D553" t="s">
        <v>50</v>
      </c>
      <c r="E553" t="s">
        <v>184</v>
      </c>
      <c r="F553">
        <v>-10500</v>
      </c>
      <c r="G553" t="s">
        <v>154</v>
      </c>
    </row>
    <row r="554" spans="1:7" x14ac:dyDescent="0.3">
      <c r="A554" s="42">
        <v>46133</v>
      </c>
      <c r="B554" s="43">
        <v>0.45778935185185188</v>
      </c>
      <c r="C554" t="s">
        <v>152</v>
      </c>
      <c r="D554" t="s">
        <v>44</v>
      </c>
      <c r="E554" t="s">
        <v>265</v>
      </c>
      <c r="F554">
        <v>-7890</v>
      </c>
      <c r="G554" t="s">
        <v>266</v>
      </c>
    </row>
    <row r="555" spans="1:7" x14ac:dyDescent="0.3">
      <c r="A555" s="42">
        <v>46133</v>
      </c>
      <c r="B555" s="43">
        <v>0.39351851851851849</v>
      </c>
      <c r="C555" t="s">
        <v>152</v>
      </c>
      <c r="D555" t="s">
        <v>50</v>
      </c>
      <c r="E555" t="s">
        <v>184</v>
      </c>
      <c r="F555">
        <v>-1600</v>
      </c>
      <c r="G555" t="s">
        <v>154</v>
      </c>
    </row>
    <row r="556" spans="1:7" x14ac:dyDescent="0.3">
      <c r="A556" s="42">
        <v>46133</v>
      </c>
      <c r="B556" s="43">
        <v>0.37177083333333327</v>
      </c>
      <c r="C556" t="s">
        <v>152</v>
      </c>
      <c r="D556" t="s">
        <v>46</v>
      </c>
      <c r="E556" t="s">
        <v>414</v>
      </c>
      <c r="F556">
        <v>-44000</v>
      </c>
      <c r="G556" t="s">
        <v>182</v>
      </c>
    </row>
    <row r="557" spans="1:7" x14ac:dyDescent="0.3">
      <c r="A557" s="42">
        <v>46133</v>
      </c>
      <c r="B557" s="43">
        <v>0.37106481481481479</v>
      </c>
      <c r="C557" t="s">
        <v>152</v>
      </c>
      <c r="D557" t="s">
        <v>46</v>
      </c>
      <c r="E557" t="s">
        <v>414</v>
      </c>
      <c r="F557">
        <v>44000</v>
      </c>
      <c r="G557" t="s">
        <v>182</v>
      </c>
    </row>
    <row r="558" spans="1:7" x14ac:dyDescent="0.3">
      <c r="A558" s="42">
        <v>46133</v>
      </c>
      <c r="B558" s="43">
        <v>0.37047453703703698</v>
      </c>
      <c r="C558" t="s">
        <v>152</v>
      </c>
      <c r="D558" t="s">
        <v>46</v>
      </c>
      <c r="E558" t="s">
        <v>414</v>
      </c>
      <c r="F558">
        <v>-44000</v>
      </c>
      <c r="G558" t="s">
        <v>182</v>
      </c>
    </row>
    <row r="559" spans="1:7" x14ac:dyDescent="0.3">
      <c r="A559" s="42">
        <v>46133</v>
      </c>
      <c r="B559" s="43">
        <v>0.33344907407407409</v>
      </c>
      <c r="C559" t="s">
        <v>176</v>
      </c>
      <c r="D559" t="s">
        <v>29</v>
      </c>
      <c r="E559" t="s">
        <v>29</v>
      </c>
      <c r="F559">
        <v>4741800</v>
      </c>
      <c r="G559" t="s">
        <v>60</v>
      </c>
    </row>
    <row r="560" spans="1:7" x14ac:dyDescent="0.3">
      <c r="A560" s="42">
        <v>46133</v>
      </c>
      <c r="B560" s="43">
        <v>0.2628125</v>
      </c>
      <c r="C560" t="s">
        <v>155</v>
      </c>
      <c r="D560" t="s">
        <v>155</v>
      </c>
      <c r="E560" t="s">
        <v>277</v>
      </c>
      <c r="F560">
        <v>3000000</v>
      </c>
      <c r="G560" t="s">
        <v>67</v>
      </c>
    </row>
    <row r="561" spans="1:7" x14ac:dyDescent="0.3">
      <c r="A561" s="42">
        <v>46132</v>
      </c>
      <c r="B561" s="43">
        <v>0.76728009259259256</v>
      </c>
      <c r="C561" t="s">
        <v>152</v>
      </c>
      <c r="D561" t="s">
        <v>40</v>
      </c>
      <c r="E561" t="s">
        <v>424</v>
      </c>
      <c r="F561">
        <v>-500</v>
      </c>
      <c r="G561" t="s">
        <v>154</v>
      </c>
    </row>
    <row r="562" spans="1:7" x14ac:dyDescent="0.3">
      <c r="A562" s="42">
        <v>46132</v>
      </c>
      <c r="B562" s="43">
        <v>0.70424768518518521</v>
      </c>
      <c r="C562" t="s">
        <v>152</v>
      </c>
      <c r="D562" t="s">
        <v>50</v>
      </c>
      <c r="E562" t="s">
        <v>230</v>
      </c>
      <c r="F562">
        <v>-1800</v>
      </c>
      <c r="G562" t="s">
        <v>154</v>
      </c>
    </row>
    <row r="563" spans="1:7" x14ac:dyDescent="0.3">
      <c r="A563" s="42">
        <v>46132</v>
      </c>
      <c r="B563" s="43">
        <v>0.69461805555555556</v>
      </c>
      <c r="C563" t="s">
        <v>152</v>
      </c>
      <c r="D563" t="s">
        <v>50</v>
      </c>
      <c r="E563" t="s">
        <v>231</v>
      </c>
      <c r="F563">
        <v>-7600</v>
      </c>
      <c r="G563" t="s">
        <v>154</v>
      </c>
    </row>
    <row r="564" spans="1:7" x14ac:dyDescent="0.3">
      <c r="A564" s="42">
        <v>46132</v>
      </c>
      <c r="B564" s="43">
        <v>0.41146990740740741</v>
      </c>
      <c r="C564" t="s">
        <v>152</v>
      </c>
      <c r="D564" t="s">
        <v>36</v>
      </c>
      <c r="E564" t="s">
        <v>226</v>
      </c>
      <c r="F564">
        <v>-3000</v>
      </c>
      <c r="G564" t="s">
        <v>161</v>
      </c>
    </row>
    <row r="565" spans="1:7" x14ac:dyDescent="0.3">
      <c r="A565" s="42">
        <v>46132</v>
      </c>
      <c r="B565" s="43">
        <v>0.41146990740740741</v>
      </c>
      <c r="C565" t="s">
        <v>152</v>
      </c>
      <c r="D565" t="s">
        <v>36</v>
      </c>
      <c r="E565" t="s">
        <v>365</v>
      </c>
      <c r="F565">
        <v>-3900</v>
      </c>
      <c r="G565" t="s">
        <v>161</v>
      </c>
    </row>
    <row r="566" spans="1:7" x14ac:dyDescent="0.3">
      <c r="A566" s="42">
        <v>46131</v>
      </c>
      <c r="B566" s="43">
        <v>0.84285879629629634</v>
      </c>
      <c r="C566" t="s">
        <v>152</v>
      </c>
      <c r="D566" t="s">
        <v>44</v>
      </c>
      <c r="E566" t="s">
        <v>190</v>
      </c>
      <c r="F566">
        <v>-6500</v>
      </c>
      <c r="G566" t="s">
        <v>154</v>
      </c>
    </row>
    <row r="567" spans="1:7" x14ac:dyDescent="0.3">
      <c r="A567" s="42">
        <v>46131</v>
      </c>
      <c r="B567" s="43">
        <v>0.51362268518518517</v>
      </c>
      <c r="C567" t="s">
        <v>152</v>
      </c>
      <c r="D567" t="s">
        <v>40</v>
      </c>
      <c r="E567" t="s">
        <v>425</v>
      </c>
      <c r="F567">
        <v>-71950</v>
      </c>
      <c r="G567" t="s">
        <v>154</v>
      </c>
    </row>
    <row r="568" spans="1:7" x14ac:dyDescent="0.3">
      <c r="A568" s="42">
        <v>46131</v>
      </c>
      <c r="B568" s="43">
        <v>0.48824074074074081</v>
      </c>
      <c r="C568" t="s">
        <v>152</v>
      </c>
      <c r="D568" t="s">
        <v>50</v>
      </c>
      <c r="E568" t="s">
        <v>353</v>
      </c>
      <c r="F568">
        <v>-9000</v>
      </c>
      <c r="G568" t="s">
        <v>266</v>
      </c>
    </row>
    <row r="569" spans="1:7" x14ac:dyDescent="0.3">
      <c r="A569" s="42">
        <v>46131</v>
      </c>
      <c r="B569" s="43">
        <v>0.47789351851851852</v>
      </c>
      <c r="C569" t="s">
        <v>152</v>
      </c>
      <c r="D569" t="s">
        <v>50</v>
      </c>
      <c r="E569" t="s">
        <v>353</v>
      </c>
      <c r="F569">
        <v>-67410</v>
      </c>
      <c r="G569" t="s">
        <v>266</v>
      </c>
    </row>
    <row r="570" spans="1:7" x14ac:dyDescent="0.3">
      <c r="A570" s="42">
        <v>46130</v>
      </c>
      <c r="B570" s="43">
        <v>0.80222222222222217</v>
      </c>
      <c r="C570" t="s">
        <v>152</v>
      </c>
      <c r="D570" t="s">
        <v>40</v>
      </c>
      <c r="E570" t="s">
        <v>409</v>
      </c>
      <c r="F570">
        <v>-4000</v>
      </c>
      <c r="G570" t="s">
        <v>180</v>
      </c>
    </row>
    <row r="571" spans="1:7" x14ac:dyDescent="0.3">
      <c r="A571" s="42">
        <v>46130</v>
      </c>
      <c r="B571" s="43">
        <v>0.72084490740740736</v>
      </c>
      <c r="C571" t="s">
        <v>152</v>
      </c>
      <c r="D571" t="s">
        <v>49</v>
      </c>
      <c r="E571" t="s">
        <v>426</v>
      </c>
      <c r="F571">
        <v>-300</v>
      </c>
      <c r="G571" t="s">
        <v>180</v>
      </c>
    </row>
    <row r="572" spans="1:7" x14ac:dyDescent="0.3">
      <c r="A572" s="42">
        <v>46130</v>
      </c>
      <c r="B572" s="43">
        <v>0.69203703703703701</v>
      </c>
      <c r="C572" t="s">
        <v>152</v>
      </c>
      <c r="D572" t="s">
        <v>38</v>
      </c>
      <c r="E572" t="s">
        <v>427</v>
      </c>
      <c r="F572">
        <v>-2000</v>
      </c>
      <c r="G572" t="s">
        <v>180</v>
      </c>
    </row>
    <row r="573" spans="1:7" x14ac:dyDescent="0.3">
      <c r="A573" s="42">
        <v>46130</v>
      </c>
      <c r="B573" s="43">
        <v>0.42234953703703698</v>
      </c>
      <c r="C573" t="s">
        <v>152</v>
      </c>
      <c r="D573" t="s">
        <v>36</v>
      </c>
      <c r="E573" t="s">
        <v>243</v>
      </c>
      <c r="F573">
        <v>-1500</v>
      </c>
      <c r="G573" t="s">
        <v>161</v>
      </c>
    </row>
    <row r="574" spans="1:7" x14ac:dyDescent="0.3">
      <c r="A574" s="42">
        <v>46130</v>
      </c>
      <c r="B574" s="43">
        <v>0.42233796296296289</v>
      </c>
      <c r="C574" t="s">
        <v>152</v>
      </c>
      <c r="D574" t="s">
        <v>36</v>
      </c>
      <c r="E574" t="s">
        <v>244</v>
      </c>
      <c r="F574">
        <v>-2000</v>
      </c>
      <c r="G574" t="s">
        <v>161</v>
      </c>
    </row>
    <row r="575" spans="1:7" x14ac:dyDescent="0.3">
      <c r="A575" s="42">
        <v>46129</v>
      </c>
      <c r="B575" s="43">
        <v>0.73436342592592596</v>
      </c>
      <c r="C575" t="s">
        <v>152</v>
      </c>
      <c r="D575" t="s">
        <v>44</v>
      </c>
      <c r="E575" t="s">
        <v>190</v>
      </c>
      <c r="F575">
        <v>-5400</v>
      </c>
      <c r="G575" t="s">
        <v>154</v>
      </c>
    </row>
    <row r="576" spans="1:7" x14ac:dyDescent="0.3">
      <c r="A576" s="42">
        <v>46129</v>
      </c>
      <c r="B576" s="43">
        <v>0.66274305555555557</v>
      </c>
      <c r="C576" t="s">
        <v>152</v>
      </c>
      <c r="D576" t="s">
        <v>44</v>
      </c>
      <c r="E576" t="s">
        <v>190</v>
      </c>
      <c r="F576">
        <v>-16940</v>
      </c>
      <c r="G576" t="s">
        <v>154</v>
      </c>
    </row>
    <row r="577" spans="1:7" x14ac:dyDescent="0.3">
      <c r="A577" s="42">
        <v>46129</v>
      </c>
      <c r="B577" s="43">
        <v>0.5300231481481481</v>
      </c>
      <c r="C577" t="s">
        <v>152</v>
      </c>
      <c r="D577" t="s">
        <v>50</v>
      </c>
      <c r="E577" t="s">
        <v>184</v>
      </c>
      <c r="F577">
        <v>-12300</v>
      </c>
      <c r="G577" t="s">
        <v>180</v>
      </c>
    </row>
    <row r="578" spans="1:7" x14ac:dyDescent="0.3">
      <c r="A578" s="42">
        <v>46129</v>
      </c>
      <c r="B578" s="43">
        <v>0.41020833333333329</v>
      </c>
      <c r="C578" t="s">
        <v>152</v>
      </c>
      <c r="D578" t="s">
        <v>36</v>
      </c>
      <c r="E578" t="s">
        <v>232</v>
      </c>
      <c r="F578">
        <v>-1550</v>
      </c>
      <c r="G578" t="s">
        <v>161</v>
      </c>
    </row>
    <row r="579" spans="1:7" x14ac:dyDescent="0.3">
      <c r="A579" s="42">
        <v>46128</v>
      </c>
      <c r="B579" s="43">
        <v>0.84888888888888892</v>
      </c>
      <c r="C579" t="s">
        <v>152</v>
      </c>
      <c r="D579" t="s">
        <v>47</v>
      </c>
      <c r="E579" t="s">
        <v>305</v>
      </c>
      <c r="F579">
        <v>-40000</v>
      </c>
      <c r="G579" t="s">
        <v>180</v>
      </c>
    </row>
    <row r="580" spans="1:7" x14ac:dyDescent="0.3">
      <c r="A580" s="42">
        <v>46128</v>
      </c>
      <c r="B580" s="43">
        <v>0.84171296296296294</v>
      </c>
      <c r="C580" t="s">
        <v>152</v>
      </c>
      <c r="D580" t="s">
        <v>37</v>
      </c>
      <c r="E580" t="s">
        <v>195</v>
      </c>
      <c r="F580">
        <v>-1500</v>
      </c>
      <c r="G580" t="s">
        <v>154</v>
      </c>
    </row>
    <row r="581" spans="1:7" x14ac:dyDescent="0.3">
      <c r="A581" s="42">
        <v>46128</v>
      </c>
      <c r="B581" s="43">
        <v>0.83806712962962959</v>
      </c>
      <c r="C581" t="s">
        <v>152</v>
      </c>
      <c r="D581" t="s">
        <v>40</v>
      </c>
      <c r="E581" t="s">
        <v>428</v>
      </c>
      <c r="F581">
        <v>-6150</v>
      </c>
      <c r="G581" t="s">
        <v>154</v>
      </c>
    </row>
    <row r="582" spans="1:7" x14ac:dyDescent="0.3">
      <c r="A582" s="42">
        <v>46128</v>
      </c>
      <c r="B582" s="43">
        <v>0.81891203703703708</v>
      </c>
      <c r="C582" t="s">
        <v>152</v>
      </c>
      <c r="D582" t="s">
        <v>42</v>
      </c>
      <c r="E582" t="s">
        <v>429</v>
      </c>
      <c r="F582">
        <v>-3500</v>
      </c>
      <c r="G582" t="s">
        <v>154</v>
      </c>
    </row>
    <row r="583" spans="1:7" x14ac:dyDescent="0.3">
      <c r="A583" s="42">
        <v>46128</v>
      </c>
      <c r="B583" s="43">
        <v>0.78192129629629625</v>
      </c>
      <c r="C583" t="s">
        <v>152</v>
      </c>
      <c r="D583" t="s">
        <v>42</v>
      </c>
      <c r="E583" t="s">
        <v>429</v>
      </c>
      <c r="F583">
        <v>-39000</v>
      </c>
      <c r="G583" t="s">
        <v>154</v>
      </c>
    </row>
    <row r="584" spans="1:7" x14ac:dyDescent="0.3">
      <c r="A584" s="42">
        <v>46128</v>
      </c>
      <c r="B584" s="43">
        <v>0.42538194444444438</v>
      </c>
      <c r="C584" t="s">
        <v>152</v>
      </c>
      <c r="D584" t="s">
        <v>36</v>
      </c>
      <c r="E584" t="s">
        <v>274</v>
      </c>
      <c r="F584">
        <v>-1650</v>
      </c>
      <c r="G584" t="s">
        <v>161</v>
      </c>
    </row>
    <row r="585" spans="1:7" x14ac:dyDescent="0.3">
      <c r="A585" s="42">
        <v>46128</v>
      </c>
      <c r="B585" s="43">
        <v>0.40020833333333328</v>
      </c>
      <c r="C585" t="s">
        <v>152</v>
      </c>
      <c r="D585" t="s">
        <v>44</v>
      </c>
      <c r="E585" t="s">
        <v>430</v>
      </c>
      <c r="F585">
        <v>-21640</v>
      </c>
      <c r="G585" t="s">
        <v>266</v>
      </c>
    </row>
    <row r="586" spans="1:7" x14ac:dyDescent="0.3">
      <c r="A586" s="42">
        <v>46128</v>
      </c>
      <c r="B586" s="43">
        <v>0.39689814814814822</v>
      </c>
      <c r="C586" t="s">
        <v>152</v>
      </c>
      <c r="D586" t="s">
        <v>49</v>
      </c>
      <c r="E586" t="s">
        <v>368</v>
      </c>
      <c r="F586">
        <v>-300</v>
      </c>
      <c r="G586" t="s">
        <v>154</v>
      </c>
    </row>
    <row r="587" spans="1:7" x14ac:dyDescent="0.3">
      <c r="A587" s="42">
        <v>46127</v>
      </c>
      <c r="B587" s="43">
        <v>0.92196759259259264</v>
      </c>
      <c r="C587" t="s">
        <v>152</v>
      </c>
      <c r="D587" t="s">
        <v>44</v>
      </c>
      <c r="E587" t="s">
        <v>430</v>
      </c>
      <c r="F587">
        <v>-57280</v>
      </c>
      <c r="G587" t="s">
        <v>266</v>
      </c>
    </row>
    <row r="588" spans="1:7" x14ac:dyDescent="0.3">
      <c r="A588" s="42">
        <v>46127</v>
      </c>
      <c r="B588" s="43">
        <v>0.92087962962962966</v>
      </c>
      <c r="C588" t="s">
        <v>152</v>
      </c>
      <c r="D588" t="s">
        <v>44</v>
      </c>
      <c r="E588" t="s">
        <v>430</v>
      </c>
      <c r="F588">
        <v>57280</v>
      </c>
      <c r="G588" t="s">
        <v>266</v>
      </c>
    </row>
    <row r="589" spans="1:7" x14ac:dyDescent="0.3">
      <c r="A589" s="42">
        <v>46127</v>
      </c>
      <c r="B589" s="43">
        <v>0.92021990740740744</v>
      </c>
      <c r="C589" t="s">
        <v>152</v>
      </c>
      <c r="D589" t="s">
        <v>44</v>
      </c>
      <c r="E589" t="s">
        <v>430</v>
      </c>
      <c r="F589">
        <v>-57280</v>
      </c>
      <c r="G589" t="s">
        <v>266</v>
      </c>
    </row>
    <row r="590" spans="1:7" x14ac:dyDescent="0.3">
      <c r="A590" s="42">
        <v>46127</v>
      </c>
      <c r="B590" s="43">
        <v>0.9162731481481482</v>
      </c>
      <c r="C590" t="s">
        <v>152</v>
      </c>
      <c r="D590" t="s">
        <v>40</v>
      </c>
      <c r="E590" t="s">
        <v>424</v>
      </c>
      <c r="F590">
        <v>-11400</v>
      </c>
      <c r="G590" t="s">
        <v>154</v>
      </c>
    </row>
    <row r="591" spans="1:7" x14ac:dyDescent="0.3">
      <c r="A591" s="42">
        <v>46127</v>
      </c>
      <c r="B591" s="43">
        <v>0.85434027777777777</v>
      </c>
      <c r="C591" t="s">
        <v>155</v>
      </c>
      <c r="D591" t="s">
        <v>155</v>
      </c>
      <c r="E591" t="s">
        <v>431</v>
      </c>
      <c r="F591">
        <v>130000</v>
      </c>
      <c r="G591" t="s">
        <v>61</v>
      </c>
    </row>
    <row r="592" spans="1:7" x14ac:dyDescent="0.3">
      <c r="A592" s="42">
        <v>46127</v>
      </c>
      <c r="B592" s="43">
        <v>0.63469907407407411</v>
      </c>
      <c r="C592" t="s">
        <v>152</v>
      </c>
      <c r="D592" t="s">
        <v>50</v>
      </c>
      <c r="E592" t="s">
        <v>184</v>
      </c>
      <c r="F592">
        <v>-11900</v>
      </c>
      <c r="G592" t="s">
        <v>154</v>
      </c>
    </row>
    <row r="593" spans="1:7" x14ac:dyDescent="0.3">
      <c r="A593" s="42">
        <v>46127</v>
      </c>
      <c r="B593" s="43">
        <v>0.51496527777777779</v>
      </c>
      <c r="C593" t="s">
        <v>152</v>
      </c>
      <c r="D593" t="s">
        <v>49</v>
      </c>
      <c r="E593" t="s">
        <v>432</v>
      </c>
      <c r="F593">
        <v>-22000</v>
      </c>
      <c r="G593" t="s">
        <v>154</v>
      </c>
    </row>
    <row r="594" spans="1:7" x14ac:dyDescent="0.3">
      <c r="A594" s="42">
        <v>46127</v>
      </c>
      <c r="B594" s="43">
        <v>0.40643518518518518</v>
      </c>
      <c r="C594" t="s">
        <v>152</v>
      </c>
      <c r="D594" t="s">
        <v>36</v>
      </c>
      <c r="E594" t="s">
        <v>226</v>
      </c>
      <c r="F594">
        <v>-1600</v>
      </c>
      <c r="G594" t="s">
        <v>161</v>
      </c>
    </row>
    <row r="595" spans="1:7" x14ac:dyDescent="0.3">
      <c r="A595" s="42">
        <v>46127</v>
      </c>
      <c r="B595" s="43">
        <v>0.40643518518518518</v>
      </c>
      <c r="C595" t="s">
        <v>152</v>
      </c>
      <c r="D595" t="s">
        <v>36</v>
      </c>
      <c r="E595" t="s">
        <v>244</v>
      </c>
      <c r="F595">
        <v>-1900</v>
      </c>
      <c r="G595" t="s">
        <v>161</v>
      </c>
    </row>
    <row r="596" spans="1:7" x14ac:dyDescent="0.3">
      <c r="A596" s="42">
        <v>46126</v>
      </c>
      <c r="B596" s="43">
        <v>0.80709490740740741</v>
      </c>
      <c r="C596" t="s">
        <v>155</v>
      </c>
      <c r="D596" t="s">
        <v>213</v>
      </c>
      <c r="E596" t="s">
        <v>433</v>
      </c>
      <c r="F596">
        <v>-875630</v>
      </c>
      <c r="G596" t="s">
        <v>61</v>
      </c>
    </row>
    <row r="597" spans="1:7" x14ac:dyDescent="0.3">
      <c r="A597" s="42">
        <v>46126</v>
      </c>
      <c r="B597" s="43">
        <v>0.67216435185185186</v>
      </c>
      <c r="C597" t="s">
        <v>152</v>
      </c>
      <c r="D597" t="s">
        <v>40</v>
      </c>
      <c r="E597" t="s">
        <v>434</v>
      </c>
      <c r="F597">
        <v>-4320</v>
      </c>
      <c r="G597" t="s">
        <v>154</v>
      </c>
    </row>
    <row r="598" spans="1:7" x14ac:dyDescent="0.3">
      <c r="A598" s="42">
        <v>46126</v>
      </c>
      <c r="B598" s="43">
        <v>0.67195601851851849</v>
      </c>
      <c r="C598" t="s">
        <v>152</v>
      </c>
      <c r="D598" t="s">
        <v>40</v>
      </c>
      <c r="E598" t="s">
        <v>434</v>
      </c>
      <c r="F598">
        <v>-3700</v>
      </c>
      <c r="G598" t="s">
        <v>154</v>
      </c>
    </row>
    <row r="599" spans="1:7" x14ac:dyDescent="0.3">
      <c r="A599" s="42">
        <v>46126</v>
      </c>
      <c r="B599" s="43">
        <v>0.63041666666666663</v>
      </c>
      <c r="C599" t="s">
        <v>152</v>
      </c>
      <c r="D599" t="s">
        <v>36</v>
      </c>
      <c r="E599" t="s">
        <v>250</v>
      </c>
      <c r="F599">
        <v>-45800</v>
      </c>
      <c r="G599" t="s">
        <v>180</v>
      </c>
    </row>
    <row r="600" spans="1:7" x14ac:dyDescent="0.3">
      <c r="A600" s="42">
        <v>46126</v>
      </c>
      <c r="B600" s="43">
        <v>0.51204861111111111</v>
      </c>
      <c r="C600" t="s">
        <v>152</v>
      </c>
      <c r="D600" t="s">
        <v>50</v>
      </c>
      <c r="E600" t="s">
        <v>435</v>
      </c>
      <c r="F600">
        <v>-8200</v>
      </c>
      <c r="G600" t="s">
        <v>154</v>
      </c>
    </row>
    <row r="601" spans="1:7" x14ac:dyDescent="0.3">
      <c r="A601" s="42">
        <v>46126</v>
      </c>
      <c r="B601" s="43">
        <v>0.51185185185185189</v>
      </c>
      <c r="C601" t="s">
        <v>152</v>
      </c>
      <c r="D601" t="s">
        <v>50</v>
      </c>
      <c r="E601" t="s">
        <v>435</v>
      </c>
      <c r="F601">
        <v>5740</v>
      </c>
      <c r="G601" t="s">
        <v>154</v>
      </c>
    </row>
    <row r="602" spans="1:7" x14ac:dyDescent="0.3">
      <c r="A602" s="42">
        <v>46126</v>
      </c>
      <c r="B602" s="43">
        <v>0.5097800925925926</v>
      </c>
      <c r="C602" t="s">
        <v>152</v>
      </c>
      <c r="D602" t="s">
        <v>50</v>
      </c>
      <c r="E602" t="s">
        <v>435</v>
      </c>
      <c r="F602">
        <v>-5740</v>
      </c>
      <c r="G602" t="s">
        <v>154</v>
      </c>
    </row>
    <row r="603" spans="1:7" x14ac:dyDescent="0.3">
      <c r="A603" s="42">
        <v>46126</v>
      </c>
      <c r="B603" s="43">
        <v>0.49503472222222222</v>
      </c>
      <c r="C603" t="s">
        <v>152</v>
      </c>
      <c r="D603" t="s">
        <v>42</v>
      </c>
      <c r="E603" t="s">
        <v>436</v>
      </c>
      <c r="F603">
        <v>-6300</v>
      </c>
      <c r="G603" t="s">
        <v>154</v>
      </c>
    </row>
    <row r="604" spans="1:7" x14ac:dyDescent="0.3">
      <c r="A604" s="42">
        <v>46125</v>
      </c>
      <c r="B604" s="43">
        <v>0.90034722222222219</v>
      </c>
      <c r="C604" t="s">
        <v>152</v>
      </c>
      <c r="D604" t="s">
        <v>50</v>
      </c>
      <c r="E604" t="s">
        <v>437</v>
      </c>
      <c r="F604">
        <v>-57202</v>
      </c>
      <c r="G604" t="s">
        <v>182</v>
      </c>
    </row>
    <row r="605" spans="1:7" x14ac:dyDescent="0.3">
      <c r="A605" s="42">
        <v>46125</v>
      </c>
      <c r="B605" s="43">
        <v>0.84457175925925931</v>
      </c>
      <c r="C605" t="s">
        <v>155</v>
      </c>
      <c r="D605" t="s">
        <v>155</v>
      </c>
      <c r="E605" t="s">
        <v>438</v>
      </c>
      <c r="F605">
        <v>24000</v>
      </c>
      <c r="G605" t="s">
        <v>158</v>
      </c>
    </row>
    <row r="606" spans="1:7" x14ac:dyDescent="0.3">
      <c r="A606" s="42">
        <v>46125</v>
      </c>
      <c r="B606" s="43">
        <v>0.84224537037037039</v>
      </c>
      <c r="C606" t="s">
        <v>152</v>
      </c>
      <c r="D606" t="s">
        <v>39</v>
      </c>
      <c r="E606" t="s">
        <v>439</v>
      </c>
      <c r="F606">
        <v>-60000</v>
      </c>
      <c r="G606" t="s">
        <v>154</v>
      </c>
    </row>
    <row r="607" spans="1:7" x14ac:dyDescent="0.3">
      <c r="A607" s="42">
        <v>46125</v>
      </c>
      <c r="B607" s="43">
        <v>0.8295717592592593</v>
      </c>
      <c r="C607" t="s">
        <v>152</v>
      </c>
      <c r="D607" t="s">
        <v>49</v>
      </c>
      <c r="E607" t="s">
        <v>440</v>
      </c>
      <c r="F607">
        <v>-46300</v>
      </c>
      <c r="G607" t="s">
        <v>154</v>
      </c>
    </row>
    <row r="608" spans="1:7" x14ac:dyDescent="0.3">
      <c r="A608" s="42">
        <v>46125</v>
      </c>
      <c r="B608" s="43">
        <v>0.81466435185185182</v>
      </c>
      <c r="C608" t="s">
        <v>155</v>
      </c>
      <c r="D608" t="s">
        <v>213</v>
      </c>
      <c r="E608" t="s">
        <v>326</v>
      </c>
      <c r="F608">
        <v>-560420</v>
      </c>
      <c r="G608" t="s">
        <v>61</v>
      </c>
    </row>
    <row r="609" spans="1:7" x14ac:dyDescent="0.3">
      <c r="A609" s="42">
        <v>46125</v>
      </c>
      <c r="B609" s="43">
        <v>0.50231481481481477</v>
      </c>
      <c r="C609" t="s">
        <v>152</v>
      </c>
      <c r="D609" t="s">
        <v>50</v>
      </c>
      <c r="E609" t="s">
        <v>435</v>
      </c>
      <c r="F609">
        <v>-5740</v>
      </c>
      <c r="G609" t="s">
        <v>154</v>
      </c>
    </row>
    <row r="610" spans="1:7" x14ac:dyDescent="0.3">
      <c r="A610" s="42">
        <v>46125</v>
      </c>
      <c r="B610" s="43">
        <v>0.48409722222222218</v>
      </c>
      <c r="C610" t="s">
        <v>152</v>
      </c>
      <c r="D610" t="s">
        <v>42</v>
      </c>
      <c r="E610" t="s">
        <v>436</v>
      </c>
      <c r="F610">
        <v>-6300</v>
      </c>
      <c r="G610" t="s">
        <v>154</v>
      </c>
    </row>
    <row r="611" spans="1:7" x14ac:dyDescent="0.3">
      <c r="A611" s="42">
        <v>46125</v>
      </c>
      <c r="B611" s="43">
        <v>0.41173611111111108</v>
      </c>
      <c r="C611" t="s">
        <v>152</v>
      </c>
      <c r="D611" t="s">
        <v>36</v>
      </c>
      <c r="E611" t="s">
        <v>243</v>
      </c>
      <c r="F611">
        <v>-1500</v>
      </c>
      <c r="G611" t="s">
        <v>161</v>
      </c>
    </row>
    <row r="612" spans="1:7" x14ac:dyDescent="0.3">
      <c r="A612" s="42">
        <v>46125</v>
      </c>
      <c r="B612" s="43">
        <v>0.41173611111111108</v>
      </c>
      <c r="C612" t="s">
        <v>152</v>
      </c>
      <c r="D612" t="s">
        <v>36</v>
      </c>
      <c r="E612" t="s">
        <v>244</v>
      </c>
      <c r="F612">
        <v>-2000</v>
      </c>
      <c r="G612" t="s">
        <v>161</v>
      </c>
    </row>
    <row r="613" spans="1:7" x14ac:dyDescent="0.3">
      <c r="A613" s="42">
        <v>46125</v>
      </c>
      <c r="B613" s="43">
        <v>0.33026620370370369</v>
      </c>
      <c r="C613" t="s">
        <v>155</v>
      </c>
      <c r="D613" t="s">
        <v>155</v>
      </c>
      <c r="E613" t="s">
        <v>210</v>
      </c>
      <c r="F613">
        <v>19000000</v>
      </c>
      <c r="G613" t="s">
        <v>60</v>
      </c>
    </row>
    <row r="614" spans="1:7" x14ac:dyDescent="0.3">
      <c r="A614" s="42">
        <v>46124</v>
      </c>
      <c r="B614" s="43">
        <v>0.92156249999999995</v>
      </c>
      <c r="C614" t="s">
        <v>152</v>
      </c>
      <c r="D614" t="s">
        <v>38</v>
      </c>
      <c r="E614" t="s">
        <v>441</v>
      </c>
      <c r="F614">
        <v>-1400</v>
      </c>
      <c r="G614" t="s">
        <v>154</v>
      </c>
    </row>
    <row r="615" spans="1:7" x14ac:dyDescent="0.3">
      <c r="A615" s="42">
        <v>46124</v>
      </c>
      <c r="B615" s="43">
        <v>0.88457175925925924</v>
      </c>
      <c r="C615" t="s">
        <v>155</v>
      </c>
      <c r="D615" t="s">
        <v>163</v>
      </c>
      <c r="E615" t="s">
        <v>164</v>
      </c>
      <c r="F615">
        <v>30980</v>
      </c>
      <c r="G615" t="s">
        <v>158</v>
      </c>
    </row>
    <row r="616" spans="1:7" x14ac:dyDescent="0.3">
      <c r="A616" s="42">
        <v>46124</v>
      </c>
      <c r="B616" s="43">
        <v>0.88457175925925924</v>
      </c>
      <c r="C616" t="s">
        <v>152</v>
      </c>
      <c r="D616" t="s">
        <v>37</v>
      </c>
      <c r="E616" t="s">
        <v>165</v>
      </c>
      <c r="F616">
        <v>-35480</v>
      </c>
      <c r="G616" t="s">
        <v>158</v>
      </c>
    </row>
    <row r="617" spans="1:7" x14ac:dyDescent="0.3">
      <c r="A617" s="42">
        <v>46124</v>
      </c>
      <c r="B617" s="43">
        <v>0.88457175925925924</v>
      </c>
      <c r="C617" t="s">
        <v>155</v>
      </c>
      <c r="D617" t="s">
        <v>163</v>
      </c>
      <c r="E617" t="s">
        <v>166</v>
      </c>
      <c r="F617">
        <v>-30980</v>
      </c>
      <c r="G617" t="s">
        <v>61</v>
      </c>
    </row>
    <row r="618" spans="1:7" x14ac:dyDescent="0.3">
      <c r="A618" s="42">
        <v>46124</v>
      </c>
      <c r="B618" s="43">
        <v>0.61655092592592597</v>
      </c>
      <c r="C618" t="s">
        <v>152</v>
      </c>
      <c r="D618" t="s">
        <v>37</v>
      </c>
      <c r="E618" t="s">
        <v>442</v>
      </c>
      <c r="F618">
        <v>-65100</v>
      </c>
      <c r="G618" t="s">
        <v>182</v>
      </c>
    </row>
    <row r="619" spans="1:7" x14ac:dyDescent="0.3">
      <c r="A619" s="42">
        <v>46124</v>
      </c>
      <c r="B619" s="43">
        <v>0.43921296296296303</v>
      </c>
      <c r="C619" t="s">
        <v>152</v>
      </c>
      <c r="D619" t="s">
        <v>44</v>
      </c>
      <c r="E619" t="s">
        <v>159</v>
      </c>
      <c r="F619">
        <v>-13900</v>
      </c>
      <c r="G619" t="s">
        <v>154</v>
      </c>
    </row>
    <row r="620" spans="1:7" x14ac:dyDescent="0.3">
      <c r="A620" s="42">
        <v>46124</v>
      </c>
      <c r="B620" s="43">
        <v>0.41951388888888891</v>
      </c>
      <c r="C620" t="s">
        <v>152</v>
      </c>
      <c r="D620" t="s">
        <v>44</v>
      </c>
      <c r="E620" t="s">
        <v>190</v>
      </c>
      <c r="F620">
        <v>-10900</v>
      </c>
      <c r="G620" t="s">
        <v>154</v>
      </c>
    </row>
    <row r="621" spans="1:7" x14ac:dyDescent="0.3">
      <c r="A621" s="42">
        <v>46124</v>
      </c>
      <c r="B621" s="43">
        <v>0.41888888888888892</v>
      </c>
      <c r="C621" t="s">
        <v>152</v>
      </c>
      <c r="D621" t="s">
        <v>37</v>
      </c>
      <c r="E621" t="s">
        <v>443</v>
      </c>
      <c r="F621">
        <v>-2000</v>
      </c>
      <c r="G621" t="s">
        <v>154</v>
      </c>
    </row>
    <row r="622" spans="1:7" x14ac:dyDescent="0.3">
      <c r="A622" s="42">
        <v>46124</v>
      </c>
      <c r="B622" s="43">
        <v>0.41215277777777781</v>
      </c>
      <c r="C622" t="s">
        <v>152</v>
      </c>
      <c r="D622" t="s">
        <v>36</v>
      </c>
      <c r="E622" t="s">
        <v>225</v>
      </c>
      <c r="F622">
        <v>-2890</v>
      </c>
      <c r="G622" t="s">
        <v>161</v>
      </c>
    </row>
    <row r="623" spans="1:7" x14ac:dyDescent="0.3">
      <c r="A623" s="42">
        <v>46124</v>
      </c>
      <c r="B623" s="43">
        <v>0.1569328703703704</v>
      </c>
      <c r="C623" t="s">
        <v>152</v>
      </c>
      <c r="D623" t="s">
        <v>36</v>
      </c>
      <c r="E623" t="s">
        <v>250</v>
      </c>
      <c r="F623">
        <v>-45800</v>
      </c>
      <c r="G623" t="s">
        <v>180</v>
      </c>
    </row>
    <row r="624" spans="1:7" x14ac:dyDescent="0.3">
      <c r="A624" s="42">
        <v>46123</v>
      </c>
      <c r="B624" s="43">
        <v>0.71428240740740745</v>
      </c>
      <c r="C624" t="s">
        <v>152</v>
      </c>
      <c r="D624" t="s">
        <v>44</v>
      </c>
      <c r="E624" t="s">
        <v>444</v>
      </c>
      <c r="F624">
        <v>-3500</v>
      </c>
      <c r="G624" t="s">
        <v>186</v>
      </c>
    </row>
    <row r="625" spans="1:7" x14ac:dyDescent="0.3">
      <c r="A625" s="42">
        <v>46123</v>
      </c>
      <c r="B625" s="43">
        <v>0.70886574074074071</v>
      </c>
      <c r="C625" t="s">
        <v>152</v>
      </c>
      <c r="D625" t="s">
        <v>44</v>
      </c>
      <c r="E625" t="s">
        <v>444</v>
      </c>
      <c r="F625">
        <v>-78420</v>
      </c>
      <c r="G625" t="s">
        <v>186</v>
      </c>
    </row>
    <row r="626" spans="1:7" x14ac:dyDescent="0.3">
      <c r="A626" s="42">
        <v>46123</v>
      </c>
      <c r="B626" s="43">
        <v>0.68054398148148143</v>
      </c>
      <c r="C626" t="s">
        <v>152</v>
      </c>
      <c r="D626" t="s">
        <v>44</v>
      </c>
      <c r="E626" t="s">
        <v>444</v>
      </c>
      <c r="F626">
        <v>-2000</v>
      </c>
      <c r="G626" t="s">
        <v>186</v>
      </c>
    </row>
    <row r="627" spans="1:7" x14ac:dyDescent="0.3">
      <c r="A627" s="42">
        <v>46123</v>
      </c>
      <c r="B627" s="43">
        <v>0.54390046296296302</v>
      </c>
      <c r="C627" t="s">
        <v>152</v>
      </c>
      <c r="D627" t="s">
        <v>42</v>
      </c>
      <c r="E627" t="s">
        <v>445</v>
      </c>
      <c r="F627">
        <v>-15100</v>
      </c>
      <c r="G627" t="s">
        <v>186</v>
      </c>
    </row>
    <row r="628" spans="1:7" x14ac:dyDescent="0.3">
      <c r="A628" s="42">
        <v>46123</v>
      </c>
      <c r="B628" s="43">
        <v>0.44268518518518518</v>
      </c>
      <c r="C628" t="s">
        <v>152</v>
      </c>
      <c r="D628" t="s">
        <v>38</v>
      </c>
      <c r="E628" t="s">
        <v>446</v>
      </c>
      <c r="F628">
        <v>-3000</v>
      </c>
      <c r="G628" t="s">
        <v>186</v>
      </c>
    </row>
    <row r="629" spans="1:7" x14ac:dyDescent="0.3">
      <c r="A629" s="42">
        <v>46123</v>
      </c>
      <c r="B629" s="43">
        <v>0.4415277777777778</v>
      </c>
      <c r="C629" t="s">
        <v>152</v>
      </c>
      <c r="D629" t="s">
        <v>38</v>
      </c>
      <c r="E629" t="s">
        <v>446</v>
      </c>
      <c r="F629">
        <v>-8000</v>
      </c>
      <c r="G629" t="s">
        <v>186</v>
      </c>
    </row>
    <row r="630" spans="1:7" x14ac:dyDescent="0.3">
      <c r="A630" s="42">
        <v>46123</v>
      </c>
      <c r="B630" s="43">
        <v>0.43880787037037039</v>
      </c>
      <c r="C630" t="s">
        <v>152</v>
      </c>
      <c r="D630" t="s">
        <v>38</v>
      </c>
      <c r="E630" t="s">
        <v>446</v>
      </c>
      <c r="F630">
        <v>-7000</v>
      </c>
      <c r="G630" t="s">
        <v>186</v>
      </c>
    </row>
    <row r="631" spans="1:7" x14ac:dyDescent="0.3">
      <c r="A631" s="42">
        <v>46123</v>
      </c>
      <c r="B631" s="43">
        <v>0.41430555555555548</v>
      </c>
      <c r="C631" t="s">
        <v>152</v>
      </c>
      <c r="D631" t="s">
        <v>36</v>
      </c>
      <c r="E631" t="s">
        <v>243</v>
      </c>
      <c r="F631">
        <v>-1500</v>
      </c>
      <c r="G631" t="s">
        <v>161</v>
      </c>
    </row>
    <row r="632" spans="1:7" x14ac:dyDescent="0.3">
      <c r="A632" s="42">
        <v>46123</v>
      </c>
      <c r="B632" s="43">
        <v>0.4142939814814815</v>
      </c>
      <c r="C632" t="s">
        <v>152</v>
      </c>
      <c r="D632" t="s">
        <v>36</v>
      </c>
      <c r="E632" t="s">
        <v>244</v>
      </c>
      <c r="F632">
        <v>-2000</v>
      </c>
      <c r="G632" t="s">
        <v>161</v>
      </c>
    </row>
    <row r="633" spans="1:7" x14ac:dyDescent="0.3">
      <c r="A633" s="42">
        <v>46123</v>
      </c>
      <c r="B633" s="43">
        <v>0</v>
      </c>
      <c r="C633" t="s">
        <v>152</v>
      </c>
      <c r="D633" t="s">
        <v>44</v>
      </c>
      <c r="E633" t="s">
        <v>259</v>
      </c>
      <c r="F633">
        <v>7900</v>
      </c>
      <c r="G633" t="s">
        <v>186</v>
      </c>
    </row>
    <row r="634" spans="1:7" x14ac:dyDescent="0.3">
      <c r="A634" s="42">
        <v>46122</v>
      </c>
      <c r="B634" s="43">
        <v>0.8128009259259259</v>
      </c>
      <c r="C634" t="s">
        <v>152</v>
      </c>
      <c r="D634" t="s">
        <v>49</v>
      </c>
      <c r="E634" t="s">
        <v>416</v>
      </c>
      <c r="F634">
        <v>7900</v>
      </c>
      <c r="G634" t="s">
        <v>182</v>
      </c>
    </row>
    <row r="635" spans="1:7" x14ac:dyDescent="0.3">
      <c r="A635" s="42">
        <v>46122</v>
      </c>
      <c r="B635" s="43">
        <v>0.7958912037037037</v>
      </c>
      <c r="C635" t="s">
        <v>152</v>
      </c>
      <c r="D635" t="s">
        <v>49</v>
      </c>
      <c r="E635" t="s">
        <v>416</v>
      </c>
      <c r="F635">
        <v>-9513</v>
      </c>
      <c r="G635" t="s">
        <v>199</v>
      </c>
    </row>
    <row r="636" spans="1:7" x14ac:dyDescent="0.3">
      <c r="A636" s="42">
        <v>46122</v>
      </c>
      <c r="B636" s="43">
        <v>0.7958912037037037</v>
      </c>
      <c r="C636" t="s">
        <v>152</v>
      </c>
      <c r="D636" t="s">
        <v>49</v>
      </c>
      <c r="E636" t="s">
        <v>416</v>
      </c>
      <c r="F636">
        <v>-14187</v>
      </c>
      <c r="G636" t="s">
        <v>182</v>
      </c>
    </row>
    <row r="637" spans="1:7" x14ac:dyDescent="0.3">
      <c r="A637" s="42">
        <v>46122</v>
      </c>
      <c r="B637" s="43">
        <v>0.66622685185185182</v>
      </c>
      <c r="C637" t="s">
        <v>152</v>
      </c>
      <c r="D637" t="s">
        <v>50</v>
      </c>
      <c r="E637" t="s">
        <v>184</v>
      </c>
      <c r="F637">
        <v>-1600</v>
      </c>
      <c r="G637" t="s">
        <v>186</v>
      </c>
    </row>
    <row r="638" spans="1:7" x14ac:dyDescent="0.3">
      <c r="A638" s="42">
        <v>46122</v>
      </c>
      <c r="B638" s="43">
        <v>0.57680555555555557</v>
      </c>
      <c r="C638" t="s">
        <v>176</v>
      </c>
      <c r="D638" t="s">
        <v>28</v>
      </c>
      <c r="E638" t="s">
        <v>178</v>
      </c>
      <c r="F638">
        <v>20850</v>
      </c>
      <c r="G638" t="s">
        <v>61</v>
      </c>
    </row>
    <row r="639" spans="1:7" x14ac:dyDescent="0.3">
      <c r="A639" s="42">
        <v>46122</v>
      </c>
      <c r="B639" s="43">
        <v>0.56554398148148144</v>
      </c>
      <c r="C639" t="s">
        <v>176</v>
      </c>
      <c r="D639" t="s">
        <v>32</v>
      </c>
      <c r="E639" t="s">
        <v>177</v>
      </c>
      <c r="F639">
        <v>137250</v>
      </c>
      <c r="G639" t="s">
        <v>61</v>
      </c>
    </row>
    <row r="640" spans="1:7" x14ac:dyDescent="0.3">
      <c r="A640" s="42">
        <v>46122</v>
      </c>
      <c r="B640" s="43">
        <v>0.54092592592592592</v>
      </c>
      <c r="C640" t="s">
        <v>152</v>
      </c>
      <c r="D640" t="s">
        <v>44</v>
      </c>
      <c r="E640" t="s">
        <v>179</v>
      </c>
      <c r="F640">
        <v>-34900</v>
      </c>
      <c r="G640" t="s">
        <v>180</v>
      </c>
    </row>
    <row r="641" spans="1:7" x14ac:dyDescent="0.3">
      <c r="A641" s="42">
        <v>46122</v>
      </c>
      <c r="B641" s="43">
        <v>0.51440972222222225</v>
      </c>
      <c r="C641" t="s">
        <v>152</v>
      </c>
      <c r="D641" t="s">
        <v>50</v>
      </c>
      <c r="E641" t="s">
        <v>184</v>
      </c>
      <c r="F641">
        <v>-6400</v>
      </c>
      <c r="G641" t="s">
        <v>186</v>
      </c>
    </row>
    <row r="642" spans="1:7" x14ac:dyDescent="0.3">
      <c r="A642" s="42">
        <v>46122</v>
      </c>
      <c r="B642" s="43">
        <v>0.41089120370370369</v>
      </c>
      <c r="C642" t="s">
        <v>152</v>
      </c>
      <c r="D642" t="s">
        <v>36</v>
      </c>
      <c r="E642" t="s">
        <v>243</v>
      </c>
      <c r="F642">
        <v>-1500</v>
      </c>
      <c r="G642" t="s">
        <v>161</v>
      </c>
    </row>
    <row r="643" spans="1:7" x14ac:dyDescent="0.3">
      <c r="A643" s="42">
        <v>46122</v>
      </c>
      <c r="B643" s="43">
        <v>0.41089120370370369</v>
      </c>
      <c r="C643" t="s">
        <v>152</v>
      </c>
      <c r="D643" t="s">
        <v>36</v>
      </c>
      <c r="E643" t="s">
        <v>244</v>
      </c>
      <c r="F643">
        <v>-1900</v>
      </c>
      <c r="G643" t="s">
        <v>161</v>
      </c>
    </row>
    <row r="644" spans="1:7" x14ac:dyDescent="0.3">
      <c r="A644" s="42">
        <v>46122</v>
      </c>
      <c r="B644" s="43">
        <v>4.2372685185185187E-2</v>
      </c>
      <c r="C644" t="s">
        <v>152</v>
      </c>
      <c r="D644" t="s">
        <v>48</v>
      </c>
      <c r="E644" t="s">
        <v>308</v>
      </c>
      <c r="F644">
        <v>-17330</v>
      </c>
      <c r="G644" t="s">
        <v>154</v>
      </c>
    </row>
    <row r="645" spans="1:7" x14ac:dyDescent="0.3">
      <c r="A645" s="42">
        <v>46122</v>
      </c>
      <c r="B645" s="43">
        <v>0</v>
      </c>
      <c r="C645" t="s">
        <v>152</v>
      </c>
      <c r="D645" t="s">
        <v>36</v>
      </c>
      <c r="E645" t="s">
        <v>250</v>
      </c>
      <c r="F645">
        <v>40700</v>
      </c>
      <c r="G645" t="s">
        <v>180</v>
      </c>
    </row>
    <row r="646" spans="1:7" x14ac:dyDescent="0.3">
      <c r="A646" s="42">
        <v>46122</v>
      </c>
      <c r="B646" s="43">
        <v>0</v>
      </c>
      <c r="C646" t="s">
        <v>152</v>
      </c>
      <c r="D646" t="s">
        <v>36</v>
      </c>
      <c r="E646" t="s">
        <v>250</v>
      </c>
      <c r="F646">
        <v>40800</v>
      </c>
      <c r="G646" t="s">
        <v>180</v>
      </c>
    </row>
    <row r="647" spans="1:7" x14ac:dyDescent="0.3">
      <c r="A647" s="42">
        <v>46121</v>
      </c>
      <c r="B647" s="43">
        <v>0.81055555555555558</v>
      </c>
      <c r="C647" t="s">
        <v>152</v>
      </c>
      <c r="D647" t="s">
        <v>43</v>
      </c>
      <c r="E647" t="s">
        <v>384</v>
      </c>
      <c r="F647">
        <v>-325583</v>
      </c>
      <c r="G647" t="s">
        <v>180</v>
      </c>
    </row>
    <row r="648" spans="1:7" x14ac:dyDescent="0.3">
      <c r="A648" s="42">
        <v>46121</v>
      </c>
      <c r="B648" s="43">
        <v>0.59085648148148151</v>
      </c>
      <c r="C648" t="s">
        <v>152</v>
      </c>
      <c r="D648" t="s">
        <v>36</v>
      </c>
      <c r="E648" t="s">
        <v>250</v>
      </c>
      <c r="F648">
        <v>-45800</v>
      </c>
      <c r="G648" t="s">
        <v>180</v>
      </c>
    </row>
    <row r="649" spans="1:7" x14ac:dyDescent="0.3">
      <c r="A649" s="42">
        <v>46121</v>
      </c>
      <c r="B649" s="43">
        <v>0.49629629629629629</v>
      </c>
      <c r="C649" t="s">
        <v>152</v>
      </c>
      <c r="D649" t="s">
        <v>36</v>
      </c>
      <c r="E649" t="s">
        <v>250</v>
      </c>
      <c r="F649">
        <v>-45800</v>
      </c>
      <c r="G649" t="s">
        <v>180</v>
      </c>
    </row>
    <row r="650" spans="1:7" x14ac:dyDescent="0.3">
      <c r="A650" s="42">
        <v>46121</v>
      </c>
      <c r="B650" s="43">
        <v>0.40959490740740739</v>
      </c>
      <c r="C650" t="s">
        <v>152</v>
      </c>
      <c r="D650" t="s">
        <v>36</v>
      </c>
      <c r="E650" t="s">
        <v>243</v>
      </c>
      <c r="F650">
        <v>-1500</v>
      </c>
      <c r="G650" t="s">
        <v>161</v>
      </c>
    </row>
    <row r="651" spans="1:7" x14ac:dyDescent="0.3">
      <c r="A651" s="42">
        <v>46121</v>
      </c>
      <c r="B651" s="43">
        <v>0.40959490740740739</v>
      </c>
      <c r="C651" t="s">
        <v>152</v>
      </c>
      <c r="D651" t="s">
        <v>36</v>
      </c>
      <c r="E651" t="s">
        <v>244</v>
      </c>
      <c r="F651">
        <v>-2000</v>
      </c>
      <c r="G651" t="s">
        <v>161</v>
      </c>
    </row>
    <row r="652" spans="1:7" x14ac:dyDescent="0.3">
      <c r="A652" s="42">
        <v>46121</v>
      </c>
      <c r="B652" s="43">
        <v>0.28940972222222222</v>
      </c>
      <c r="C652" t="s">
        <v>152</v>
      </c>
      <c r="D652" t="s">
        <v>40</v>
      </c>
      <c r="E652" t="s">
        <v>447</v>
      </c>
      <c r="F652">
        <v>-5600</v>
      </c>
      <c r="G652" t="s">
        <v>186</v>
      </c>
    </row>
    <row r="653" spans="1:7" x14ac:dyDescent="0.3">
      <c r="A653" s="42">
        <v>46121</v>
      </c>
      <c r="B653" s="43">
        <v>4.2372685185185187E-2</v>
      </c>
      <c r="C653" t="s">
        <v>152</v>
      </c>
      <c r="D653" t="s">
        <v>48</v>
      </c>
      <c r="E653" t="s">
        <v>311</v>
      </c>
      <c r="F653">
        <v>-39930</v>
      </c>
      <c r="G653" t="s">
        <v>154</v>
      </c>
    </row>
    <row r="654" spans="1:7" x14ac:dyDescent="0.3">
      <c r="A654" s="42">
        <v>46121</v>
      </c>
      <c r="B654" s="43">
        <v>4.2372685185185187E-2</v>
      </c>
      <c r="C654" t="s">
        <v>152</v>
      </c>
      <c r="D654" t="s">
        <v>48</v>
      </c>
      <c r="E654" t="s">
        <v>311</v>
      </c>
      <c r="F654">
        <v>-35000</v>
      </c>
      <c r="G654" t="s">
        <v>154</v>
      </c>
    </row>
    <row r="655" spans="1:7" x14ac:dyDescent="0.3">
      <c r="A655" s="42">
        <v>46120</v>
      </c>
      <c r="B655" s="43">
        <v>0.663599537037037</v>
      </c>
      <c r="C655" t="s">
        <v>152</v>
      </c>
      <c r="D655" t="s">
        <v>36</v>
      </c>
      <c r="E655" t="s">
        <v>250</v>
      </c>
      <c r="F655">
        <v>-45900</v>
      </c>
      <c r="G655" t="s">
        <v>180</v>
      </c>
    </row>
    <row r="656" spans="1:7" x14ac:dyDescent="0.3">
      <c r="A656" s="42">
        <v>46120</v>
      </c>
      <c r="B656" s="43">
        <v>0.49267361111111108</v>
      </c>
      <c r="C656" t="s">
        <v>152</v>
      </c>
      <c r="D656" t="s">
        <v>36</v>
      </c>
      <c r="E656" t="s">
        <v>250</v>
      </c>
      <c r="F656">
        <v>-45900</v>
      </c>
      <c r="G656" t="s">
        <v>180</v>
      </c>
    </row>
    <row r="657" spans="1:7" x14ac:dyDescent="0.3">
      <c r="A657" s="42">
        <v>46120</v>
      </c>
      <c r="B657" s="43">
        <v>0.44057870370370372</v>
      </c>
      <c r="C657" t="s">
        <v>155</v>
      </c>
      <c r="D657" t="s">
        <v>155</v>
      </c>
      <c r="E657" t="s">
        <v>166</v>
      </c>
      <c r="F657">
        <v>-10000</v>
      </c>
      <c r="G657" t="s">
        <v>61</v>
      </c>
    </row>
    <row r="658" spans="1:7" x14ac:dyDescent="0.3">
      <c r="A658" s="42">
        <v>46120</v>
      </c>
      <c r="B658" s="43">
        <v>0.40728009259259262</v>
      </c>
      <c r="C658" t="s">
        <v>152</v>
      </c>
      <c r="D658" t="s">
        <v>50</v>
      </c>
      <c r="E658" t="s">
        <v>184</v>
      </c>
      <c r="F658">
        <v>-1600</v>
      </c>
      <c r="G658" t="s">
        <v>186</v>
      </c>
    </row>
    <row r="659" spans="1:7" x14ac:dyDescent="0.3">
      <c r="A659" s="42">
        <v>46120</v>
      </c>
      <c r="B659" s="43">
        <v>0.2948263888888889</v>
      </c>
      <c r="C659" t="s">
        <v>152</v>
      </c>
      <c r="D659" t="s">
        <v>36</v>
      </c>
      <c r="E659" t="s">
        <v>250</v>
      </c>
      <c r="F659">
        <v>-40800</v>
      </c>
      <c r="G659" t="s">
        <v>180</v>
      </c>
    </row>
    <row r="660" spans="1:7" x14ac:dyDescent="0.3">
      <c r="A660" s="42">
        <v>46120</v>
      </c>
      <c r="B660" s="43">
        <v>4.0972222222222226E-3</v>
      </c>
      <c r="C660" t="s">
        <v>152</v>
      </c>
      <c r="D660" t="s">
        <v>36</v>
      </c>
      <c r="E660" t="s">
        <v>250</v>
      </c>
      <c r="F660">
        <v>-40700</v>
      </c>
      <c r="G660" t="s">
        <v>180</v>
      </c>
    </row>
    <row r="661" spans="1:7" x14ac:dyDescent="0.3">
      <c r="A661" s="42">
        <v>46119</v>
      </c>
      <c r="B661" s="43">
        <v>0.84212962962962967</v>
      </c>
      <c r="C661" t="s">
        <v>152</v>
      </c>
      <c r="D661" t="s">
        <v>47</v>
      </c>
      <c r="E661" t="s">
        <v>448</v>
      </c>
      <c r="F661">
        <v>-50000</v>
      </c>
      <c r="G661" t="s">
        <v>186</v>
      </c>
    </row>
    <row r="662" spans="1:7" x14ac:dyDescent="0.3">
      <c r="A662" s="42">
        <v>46119</v>
      </c>
      <c r="B662" s="43">
        <v>0.42196759259259259</v>
      </c>
      <c r="C662" t="s">
        <v>152</v>
      </c>
      <c r="D662" t="s">
        <v>36</v>
      </c>
      <c r="E662" t="s">
        <v>274</v>
      </c>
      <c r="F662">
        <v>-250</v>
      </c>
      <c r="G662" t="s">
        <v>161</v>
      </c>
    </row>
    <row r="663" spans="1:7" x14ac:dyDescent="0.3">
      <c r="A663" s="42">
        <v>46119</v>
      </c>
      <c r="B663" s="43">
        <v>0.42195601851851849</v>
      </c>
      <c r="C663" t="s">
        <v>152</v>
      </c>
      <c r="D663" t="s">
        <v>36</v>
      </c>
      <c r="E663" t="s">
        <v>243</v>
      </c>
      <c r="F663">
        <v>-1500</v>
      </c>
      <c r="G663" t="s">
        <v>161</v>
      </c>
    </row>
    <row r="664" spans="1:7" x14ac:dyDescent="0.3">
      <c r="A664" s="42">
        <v>46118</v>
      </c>
      <c r="B664" s="43">
        <v>0.51134259259259263</v>
      </c>
      <c r="C664" t="s">
        <v>152</v>
      </c>
      <c r="D664" t="s">
        <v>50</v>
      </c>
      <c r="E664" t="s">
        <v>184</v>
      </c>
      <c r="F664">
        <v>-5300</v>
      </c>
      <c r="G664" t="s">
        <v>186</v>
      </c>
    </row>
    <row r="665" spans="1:7" x14ac:dyDescent="0.3">
      <c r="A665" s="42">
        <v>46117</v>
      </c>
      <c r="B665" s="43">
        <v>0.51454861111111116</v>
      </c>
      <c r="C665" t="s">
        <v>152</v>
      </c>
      <c r="D665" t="s">
        <v>40</v>
      </c>
      <c r="E665" t="s">
        <v>425</v>
      </c>
      <c r="F665">
        <v>-15300</v>
      </c>
      <c r="G665" t="s">
        <v>180</v>
      </c>
    </row>
    <row r="666" spans="1:7" x14ac:dyDescent="0.3">
      <c r="A666" s="42">
        <v>46117</v>
      </c>
      <c r="B666" s="43">
        <v>0.45327546296296289</v>
      </c>
      <c r="C666" t="s">
        <v>152</v>
      </c>
      <c r="D666" t="s">
        <v>49</v>
      </c>
      <c r="E666" t="s">
        <v>288</v>
      </c>
      <c r="F666">
        <v>-3290</v>
      </c>
      <c r="G666" t="s">
        <v>154</v>
      </c>
    </row>
    <row r="667" spans="1:7" x14ac:dyDescent="0.3">
      <c r="A667" s="42">
        <v>46117</v>
      </c>
      <c r="B667" s="43">
        <v>0.44894675925925931</v>
      </c>
      <c r="C667" t="s">
        <v>152</v>
      </c>
      <c r="D667" t="s">
        <v>49</v>
      </c>
      <c r="E667" t="s">
        <v>288</v>
      </c>
      <c r="F667">
        <v>3290</v>
      </c>
      <c r="G667" t="s">
        <v>186</v>
      </c>
    </row>
    <row r="668" spans="1:7" x14ac:dyDescent="0.3">
      <c r="A668" s="42">
        <v>46117</v>
      </c>
      <c r="B668" s="43">
        <v>0.4485763888888889</v>
      </c>
      <c r="C668" t="s">
        <v>152</v>
      </c>
      <c r="D668" t="s">
        <v>49</v>
      </c>
      <c r="E668" t="s">
        <v>288</v>
      </c>
      <c r="F668">
        <v>-3290</v>
      </c>
      <c r="G668" t="s">
        <v>186</v>
      </c>
    </row>
    <row r="669" spans="1:7" x14ac:dyDescent="0.3">
      <c r="A669" s="42">
        <v>46116</v>
      </c>
      <c r="B669" s="43">
        <v>0.74222222222222223</v>
      </c>
      <c r="C669" t="s">
        <v>152</v>
      </c>
      <c r="D669" t="s">
        <v>49</v>
      </c>
      <c r="E669" t="s">
        <v>449</v>
      </c>
      <c r="F669">
        <v>-1700</v>
      </c>
      <c r="G669" t="s">
        <v>186</v>
      </c>
    </row>
    <row r="670" spans="1:7" x14ac:dyDescent="0.3">
      <c r="A670" s="42">
        <v>46116</v>
      </c>
      <c r="B670" s="43">
        <v>0.4445486111111111</v>
      </c>
      <c r="C670" t="s">
        <v>155</v>
      </c>
      <c r="D670" t="s">
        <v>155</v>
      </c>
      <c r="E670" t="s">
        <v>281</v>
      </c>
      <c r="F670">
        <v>-30000000</v>
      </c>
      <c r="G670" t="s">
        <v>61</v>
      </c>
    </row>
    <row r="671" spans="1:7" x14ac:dyDescent="0.3">
      <c r="A671" s="42">
        <v>46116</v>
      </c>
      <c r="B671" s="43">
        <v>0.44414351851851852</v>
      </c>
      <c r="C671" t="s">
        <v>155</v>
      </c>
      <c r="D671" t="s">
        <v>155</v>
      </c>
      <c r="E671" t="s">
        <v>281</v>
      </c>
      <c r="F671">
        <v>-100000000</v>
      </c>
      <c r="G671" t="s">
        <v>61</v>
      </c>
    </row>
    <row r="672" spans="1:7" x14ac:dyDescent="0.3">
      <c r="A672" s="42">
        <v>46116</v>
      </c>
      <c r="B672" s="43">
        <v>0.44302083333333331</v>
      </c>
      <c r="C672" t="s">
        <v>155</v>
      </c>
      <c r="D672" t="s">
        <v>155</v>
      </c>
      <c r="E672" t="s">
        <v>281</v>
      </c>
      <c r="F672">
        <v>30000000</v>
      </c>
      <c r="G672" t="s">
        <v>61</v>
      </c>
    </row>
    <row r="673" spans="1:7" x14ac:dyDescent="0.3">
      <c r="A673" s="42">
        <v>46116</v>
      </c>
      <c r="B673" s="43">
        <v>0.40939814814814812</v>
      </c>
      <c r="C673" t="s">
        <v>152</v>
      </c>
      <c r="D673" t="s">
        <v>36</v>
      </c>
      <c r="E673" t="s">
        <v>274</v>
      </c>
      <c r="F673">
        <v>-1750</v>
      </c>
      <c r="G673" t="s">
        <v>161</v>
      </c>
    </row>
    <row r="674" spans="1:7" x14ac:dyDescent="0.3">
      <c r="A674" s="42">
        <v>46116</v>
      </c>
      <c r="B674" s="43">
        <v>0.32336805555555548</v>
      </c>
      <c r="C674" t="s">
        <v>155</v>
      </c>
      <c r="D674" t="s">
        <v>163</v>
      </c>
      <c r="E674" t="s">
        <v>164</v>
      </c>
      <c r="F674">
        <v>10000</v>
      </c>
      <c r="G674" t="s">
        <v>158</v>
      </c>
    </row>
    <row r="675" spans="1:7" x14ac:dyDescent="0.3">
      <c r="A675" s="42">
        <v>46116</v>
      </c>
      <c r="B675" s="43">
        <v>0.32336805555555548</v>
      </c>
      <c r="C675" t="s">
        <v>152</v>
      </c>
      <c r="D675" t="s">
        <v>44</v>
      </c>
      <c r="E675" t="s">
        <v>235</v>
      </c>
      <c r="F675">
        <v>-5500</v>
      </c>
      <c r="G675" t="s">
        <v>236</v>
      </c>
    </row>
    <row r="676" spans="1:7" x14ac:dyDescent="0.3">
      <c r="A676" s="42">
        <v>46116</v>
      </c>
      <c r="B676" s="43">
        <v>0.32336805555555548</v>
      </c>
      <c r="C676" t="s">
        <v>155</v>
      </c>
      <c r="D676" t="s">
        <v>163</v>
      </c>
      <c r="E676" t="s">
        <v>166</v>
      </c>
      <c r="F676">
        <v>-10000</v>
      </c>
      <c r="G676" t="s">
        <v>61</v>
      </c>
    </row>
    <row r="677" spans="1:7" x14ac:dyDescent="0.3">
      <c r="A677" s="42">
        <v>46115</v>
      </c>
      <c r="B677" s="43">
        <v>0.66631944444444446</v>
      </c>
      <c r="C677" t="s">
        <v>152</v>
      </c>
      <c r="D677" t="s">
        <v>50</v>
      </c>
      <c r="E677" t="s">
        <v>184</v>
      </c>
      <c r="F677">
        <v>-1600</v>
      </c>
      <c r="G677" t="s">
        <v>186</v>
      </c>
    </row>
    <row r="678" spans="1:7" x14ac:dyDescent="0.3">
      <c r="A678" s="42">
        <v>46115</v>
      </c>
      <c r="B678" s="43">
        <v>0.53746527777777775</v>
      </c>
      <c r="C678" t="s">
        <v>152</v>
      </c>
      <c r="D678" t="s">
        <v>42</v>
      </c>
      <c r="E678" t="s">
        <v>450</v>
      </c>
      <c r="F678">
        <v>-14000</v>
      </c>
      <c r="G678" t="s">
        <v>186</v>
      </c>
    </row>
    <row r="679" spans="1:7" x14ac:dyDescent="0.3">
      <c r="A679" s="42">
        <v>46115</v>
      </c>
      <c r="B679" s="43">
        <v>0.42666666666666669</v>
      </c>
      <c r="C679" t="s">
        <v>152</v>
      </c>
      <c r="D679" t="s">
        <v>36</v>
      </c>
      <c r="E679" t="s">
        <v>243</v>
      </c>
      <c r="F679">
        <v>-1500</v>
      </c>
      <c r="G679" t="s">
        <v>161</v>
      </c>
    </row>
    <row r="680" spans="1:7" x14ac:dyDescent="0.3">
      <c r="A680" s="42">
        <v>46115</v>
      </c>
      <c r="B680" s="43">
        <v>0.4266550925925926</v>
      </c>
      <c r="C680" t="s">
        <v>152</v>
      </c>
      <c r="D680" t="s">
        <v>36</v>
      </c>
      <c r="E680" t="s">
        <v>244</v>
      </c>
      <c r="F680">
        <v>-1900</v>
      </c>
      <c r="G680" t="s">
        <v>161</v>
      </c>
    </row>
    <row r="681" spans="1:7" x14ac:dyDescent="0.3">
      <c r="A681" s="42">
        <v>46114</v>
      </c>
      <c r="B681" s="43">
        <v>0.54299768518518521</v>
      </c>
      <c r="C681" t="s">
        <v>155</v>
      </c>
      <c r="D681" t="s">
        <v>163</v>
      </c>
      <c r="E681" t="s">
        <v>7</v>
      </c>
      <c r="F681">
        <v>-40000000</v>
      </c>
      <c r="G681" t="s">
        <v>67</v>
      </c>
    </row>
    <row r="682" spans="1:7" x14ac:dyDescent="0.3">
      <c r="A682" s="42">
        <v>46114</v>
      </c>
      <c r="B682" s="43">
        <v>0.54299768518518521</v>
      </c>
      <c r="C682" t="s">
        <v>155</v>
      </c>
      <c r="D682" t="s">
        <v>163</v>
      </c>
      <c r="E682" t="s">
        <v>7</v>
      </c>
      <c r="F682">
        <v>40000000</v>
      </c>
      <c r="G682" t="s">
        <v>61</v>
      </c>
    </row>
    <row r="683" spans="1:7" x14ac:dyDescent="0.3">
      <c r="A683" s="42">
        <v>46114</v>
      </c>
      <c r="B683" s="43">
        <v>0.54156249999999995</v>
      </c>
      <c r="C683" t="s">
        <v>155</v>
      </c>
      <c r="D683" t="s">
        <v>217</v>
      </c>
      <c r="E683" t="s">
        <v>451</v>
      </c>
      <c r="F683">
        <v>10000000</v>
      </c>
      <c r="G683" t="s">
        <v>67</v>
      </c>
    </row>
    <row r="684" spans="1:7" x14ac:dyDescent="0.3">
      <c r="A684" s="42">
        <v>46114</v>
      </c>
      <c r="B684" s="43">
        <v>0.54137731481481477</v>
      </c>
      <c r="C684" t="s">
        <v>155</v>
      </c>
      <c r="D684" t="s">
        <v>217</v>
      </c>
      <c r="E684" t="s">
        <v>451</v>
      </c>
      <c r="F684">
        <v>10000000</v>
      </c>
      <c r="G684" t="s">
        <v>67</v>
      </c>
    </row>
    <row r="685" spans="1:7" x14ac:dyDescent="0.3">
      <c r="A685" s="42">
        <v>46114</v>
      </c>
      <c r="B685" s="43">
        <v>0.54116898148148151</v>
      </c>
      <c r="C685" t="s">
        <v>155</v>
      </c>
      <c r="D685" t="s">
        <v>217</v>
      </c>
      <c r="E685" t="s">
        <v>451</v>
      </c>
      <c r="F685">
        <v>10000000</v>
      </c>
      <c r="G685" t="s">
        <v>67</v>
      </c>
    </row>
    <row r="686" spans="1:7" x14ac:dyDescent="0.3">
      <c r="A686" s="42">
        <v>46114</v>
      </c>
      <c r="B686" s="43">
        <v>0.54020833333333329</v>
      </c>
      <c r="C686" t="s">
        <v>155</v>
      </c>
      <c r="D686" t="s">
        <v>217</v>
      </c>
      <c r="E686" t="s">
        <v>451</v>
      </c>
      <c r="F686">
        <v>10000000</v>
      </c>
      <c r="G686" t="s">
        <v>67</v>
      </c>
    </row>
    <row r="687" spans="1:7" x14ac:dyDescent="0.3">
      <c r="A687" s="42">
        <v>46114</v>
      </c>
      <c r="B687" s="43">
        <v>0.42481481481481481</v>
      </c>
      <c r="C687" t="s">
        <v>152</v>
      </c>
      <c r="D687" t="s">
        <v>36</v>
      </c>
      <c r="E687" t="s">
        <v>232</v>
      </c>
      <c r="F687">
        <v>-1550</v>
      </c>
      <c r="G687" t="s">
        <v>161</v>
      </c>
    </row>
    <row r="688" spans="1:7" x14ac:dyDescent="0.3">
      <c r="A688" s="42">
        <v>46114</v>
      </c>
      <c r="B688" s="43">
        <v>0.29553240740740738</v>
      </c>
      <c r="C688" t="s">
        <v>155</v>
      </c>
      <c r="D688" t="s">
        <v>163</v>
      </c>
      <c r="E688" t="s">
        <v>7</v>
      </c>
      <c r="F688">
        <v>14040800</v>
      </c>
      <c r="G688" t="s">
        <v>61</v>
      </c>
    </row>
    <row r="689" spans="1:7" x14ac:dyDescent="0.3">
      <c r="A689" s="42">
        <v>46113</v>
      </c>
      <c r="B689" s="43">
        <v>0.86909722222222219</v>
      </c>
      <c r="C689" t="s">
        <v>176</v>
      </c>
      <c r="D689" t="s">
        <v>29</v>
      </c>
      <c r="E689" t="s">
        <v>452</v>
      </c>
      <c r="F689">
        <v>54000000</v>
      </c>
      <c r="G689" t="s">
        <v>61</v>
      </c>
    </row>
    <row r="690" spans="1:7" x14ac:dyDescent="0.3">
      <c r="A690" s="42">
        <v>46113</v>
      </c>
      <c r="B690" s="43">
        <v>0.80238425925925927</v>
      </c>
      <c r="C690" t="s">
        <v>155</v>
      </c>
      <c r="D690" t="s">
        <v>213</v>
      </c>
      <c r="E690" t="s">
        <v>214</v>
      </c>
      <c r="F690">
        <v>-57350</v>
      </c>
      <c r="G690" t="s">
        <v>61</v>
      </c>
    </row>
    <row r="691" spans="1:7" x14ac:dyDescent="0.3">
      <c r="A691" s="42">
        <v>46112</v>
      </c>
      <c r="B691" s="43">
        <v>0.99987268518518524</v>
      </c>
      <c r="C691" t="s">
        <v>152</v>
      </c>
      <c r="D691" t="s">
        <v>42</v>
      </c>
      <c r="E691" t="s">
        <v>181</v>
      </c>
      <c r="F691">
        <v>-2190</v>
      </c>
      <c r="G691" t="s">
        <v>199</v>
      </c>
    </row>
    <row r="692" spans="1:7" x14ac:dyDescent="0.3">
      <c r="A692" s="42">
        <v>46112</v>
      </c>
      <c r="B692" s="43">
        <v>0.99987268518518524</v>
      </c>
      <c r="C692" t="s">
        <v>152</v>
      </c>
      <c r="D692" t="s">
        <v>42</v>
      </c>
      <c r="E692" t="s">
        <v>181</v>
      </c>
      <c r="F692">
        <v>-18610</v>
      </c>
      <c r="G692" t="s">
        <v>182</v>
      </c>
    </row>
    <row r="693" spans="1:7" x14ac:dyDescent="0.3">
      <c r="A693" s="42">
        <v>46112</v>
      </c>
      <c r="B693" s="43">
        <v>0.48893518518518519</v>
      </c>
      <c r="C693" t="s">
        <v>152</v>
      </c>
      <c r="D693" t="s">
        <v>50</v>
      </c>
      <c r="E693" t="s">
        <v>453</v>
      </c>
      <c r="F693">
        <v>-50500</v>
      </c>
      <c r="G693" t="s">
        <v>180</v>
      </c>
    </row>
    <row r="694" spans="1:7" x14ac:dyDescent="0.3">
      <c r="A694" s="42">
        <v>46112</v>
      </c>
      <c r="B694" s="43">
        <v>0.42737268518518517</v>
      </c>
      <c r="C694" t="s">
        <v>155</v>
      </c>
      <c r="D694" t="s">
        <v>155</v>
      </c>
      <c r="E694" t="s">
        <v>219</v>
      </c>
      <c r="F694">
        <v>-300000</v>
      </c>
      <c r="G694" t="s">
        <v>60</v>
      </c>
    </row>
    <row r="695" spans="1:7" x14ac:dyDescent="0.3">
      <c r="A695" s="42">
        <v>46111</v>
      </c>
      <c r="B695" s="43">
        <v>0.95322916666666668</v>
      </c>
      <c r="C695" t="s">
        <v>152</v>
      </c>
      <c r="D695" t="s">
        <v>44</v>
      </c>
      <c r="E695" t="s">
        <v>190</v>
      </c>
      <c r="F695">
        <v>-16290</v>
      </c>
      <c r="G695" t="s">
        <v>154</v>
      </c>
    </row>
    <row r="696" spans="1:7" x14ac:dyDescent="0.3">
      <c r="A696" s="42">
        <v>46111</v>
      </c>
      <c r="B696" s="43">
        <v>0.95144675925925926</v>
      </c>
      <c r="C696" t="s">
        <v>152</v>
      </c>
      <c r="D696" t="s">
        <v>44</v>
      </c>
      <c r="E696" t="s">
        <v>190</v>
      </c>
      <c r="F696">
        <v>16290</v>
      </c>
      <c r="G696" t="s">
        <v>154</v>
      </c>
    </row>
    <row r="697" spans="1:7" x14ac:dyDescent="0.3">
      <c r="A697" s="42">
        <v>46111</v>
      </c>
      <c r="B697" s="43">
        <v>0.95094907407407403</v>
      </c>
      <c r="C697" t="s">
        <v>152</v>
      </c>
      <c r="D697" t="s">
        <v>44</v>
      </c>
      <c r="E697" t="s">
        <v>190</v>
      </c>
      <c r="F697">
        <v>-16290</v>
      </c>
      <c r="G697" t="s">
        <v>154</v>
      </c>
    </row>
    <row r="698" spans="1:7" x14ac:dyDescent="0.3">
      <c r="A698" s="42">
        <v>46111</v>
      </c>
      <c r="B698" s="43">
        <v>0.94548611111111114</v>
      </c>
      <c r="C698" t="s">
        <v>152</v>
      </c>
      <c r="D698" t="s">
        <v>44</v>
      </c>
      <c r="E698" t="s">
        <v>190</v>
      </c>
      <c r="F698">
        <v>-3920</v>
      </c>
      <c r="G698" t="s">
        <v>154</v>
      </c>
    </row>
    <row r="699" spans="1:7" x14ac:dyDescent="0.3">
      <c r="A699" s="42">
        <v>46111</v>
      </c>
      <c r="B699" s="43">
        <v>0.70488425925925924</v>
      </c>
      <c r="C699" t="s">
        <v>152</v>
      </c>
      <c r="D699" t="s">
        <v>40</v>
      </c>
      <c r="E699" t="s">
        <v>434</v>
      </c>
      <c r="F699">
        <v>-6000</v>
      </c>
      <c r="G699" t="s">
        <v>180</v>
      </c>
    </row>
    <row r="700" spans="1:7" x14ac:dyDescent="0.3">
      <c r="A700" s="42">
        <v>46111</v>
      </c>
      <c r="B700" s="43">
        <v>0.67984953703703699</v>
      </c>
      <c r="C700" t="s">
        <v>152</v>
      </c>
      <c r="D700" t="s">
        <v>36</v>
      </c>
      <c r="E700" t="s">
        <v>250</v>
      </c>
      <c r="F700">
        <v>-46100</v>
      </c>
      <c r="G700" t="s">
        <v>266</v>
      </c>
    </row>
    <row r="701" spans="1:7" x14ac:dyDescent="0.3">
      <c r="A701" s="42">
        <v>46111</v>
      </c>
      <c r="B701" s="43">
        <v>0.49144675925925918</v>
      </c>
      <c r="C701" t="s">
        <v>155</v>
      </c>
      <c r="D701" t="s">
        <v>163</v>
      </c>
      <c r="E701" t="s">
        <v>223</v>
      </c>
      <c r="F701">
        <v>31</v>
      </c>
      <c r="G701" t="s">
        <v>68</v>
      </c>
    </row>
    <row r="702" spans="1:7" x14ac:dyDescent="0.3">
      <c r="A702" s="42">
        <v>46111</v>
      </c>
      <c r="B702" s="43">
        <v>0.49144675925925918</v>
      </c>
      <c r="C702" t="s">
        <v>155</v>
      </c>
      <c r="D702" t="s">
        <v>163</v>
      </c>
      <c r="E702" t="s">
        <v>68</v>
      </c>
      <c r="F702">
        <v>-31</v>
      </c>
      <c r="G702" t="s">
        <v>67</v>
      </c>
    </row>
    <row r="703" spans="1:7" x14ac:dyDescent="0.3">
      <c r="A703" s="42">
        <v>46111</v>
      </c>
      <c r="B703" s="43">
        <v>0.41089120370370369</v>
      </c>
      <c r="C703" t="s">
        <v>152</v>
      </c>
      <c r="D703" t="s">
        <v>36</v>
      </c>
      <c r="E703" t="s">
        <v>244</v>
      </c>
      <c r="F703">
        <v>-3500</v>
      </c>
      <c r="G703" t="s">
        <v>161</v>
      </c>
    </row>
    <row r="704" spans="1:7" x14ac:dyDescent="0.3">
      <c r="A704" s="42">
        <v>46111</v>
      </c>
      <c r="B704" s="43">
        <v>0.27143518518518522</v>
      </c>
      <c r="C704" t="s">
        <v>152</v>
      </c>
      <c r="D704" t="s">
        <v>40</v>
      </c>
      <c r="E704" t="s">
        <v>454</v>
      </c>
      <c r="F704">
        <v>-2700</v>
      </c>
      <c r="G704" t="s">
        <v>180</v>
      </c>
    </row>
    <row r="705" spans="1:7" x14ac:dyDescent="0.3">
      <c r="A705" s="42">
        <v>46110</v>
      </c>
      <c r="B705" s="43">
        <v>0.72723379629629625</v>
      </c>
      <c r="C705" t="s">
        <v>152</v>
      </c>
      <c r="D705" t="s">
        <v>40</v>
      </c>
      <c r="E705" t="s">
        <v>455</v>
      </c>
      <c r="F705">
        <v>-3000</v>
      </c>
      <c r="G705" t="s">
        <v>180</v>
      </c>
    </row>
    <row r="706" spans="1:7" x14ac:dyDescent="0.3">
      <c r="A706" s="42">
        <v>46110</v>
      </c>
      <c r="B706" s="43">
        <v>0.72332175925925923</v>
      </c>
      <c r="C706" t="s">
        <v>152</v>
      </c>
      <c r="D706" t="s">
        <v>42</v>
      </c>
      <c r="E706" t="s">
        <v>392</v>
      </c>
      <c r="F706">
        <v>-90670</v>
      </c>
      <c r="G706" t="s">
        <v>180</v>
      </c>
    </row>
    <row r="707" spans="1:7" x14ac:dyDescent="0.3">
      <c r="A707" s="42">
        <v>46110</v>
      </c>
      <c r="B707" s="43">
        <v>0.4198263888888889</v>
      </c>
      <c r="C707" t="s">
        <v>155</v>
      </c>
      <c r="D707" t="s">
        <v>156</v>
      </c>
      <c r="E707" t="s">
        <v>233</v>
      </c>
      <c r="F707">
        <v>-10</v>
      </c>
      <c r="G707" t="s">
        <v>64</v>
      </c>
    </row>
    <row r="708" spans="1:7" x14ac:dyDescent="0.3">
      <c r="A708" s="42">
        <v>46110</v>
      </c>
      <c r="B708" s="43">
        <v>0.4198263888888889</v>
      </c>
      <c r="C708" t="s">
        <v>155</v>
      </c>
      <c r="D708" t="s">
        <v>156</v>
      </c>
      <c r="E708" t="s">
        <v>233</v>
      </c>
      <c r="F708">
        <v>-140</v>
      </c>
      <c r="G708" t="s">
        <v>64</v>
      </c>
    </row>
    <row r="709" spans="1:7" x14ac:dyDescent="0.3">
      <c r="A709" s="42">
        <v>46110</v>
      </c>
      <c r="B709" s="43">
        <v>0.4198263888888889</v>
      </c>
      <c r="C709" t="s">
        <v>155</v>
      </c>
      <c r="D709" t="s">
        <v>156</v>
      </c>
      <c r="E709" t="s">
        <v>234</v>
      </c>
      <c r="F709">
        <v>1063</v>
      </c>
      <c r="G709" t="s">
        <v>64</v>
      </c>
    </row>
    <row r="710" spans="1:7" x14ac:dyDescent="0.3">
      <c r="A710" s="42">
        <v>46110</v>
      </c>
      <c r="B710" s="43">
        <v>0.40900462962962958</v>
      </c>
      <c r="C710" t="s">
        <v>152</v>
      </c>
      <c r="D710" t="s">
        <v>36</v>
      </c>
      <c r="E710" t="s">
        <v>274</v>
      </c>
      <c r="F710">
        <v>-150</v>
      </c>
      <c r="G710" t="s">
        <v>161</v>
      </c>
    </row>
    <row r="711" spans="1:7" x14ac:dyDescent="0.3">
      <c r="A711" s="42">
        <v>46110</v>
      </c>
      <c r="B711" s="43">
        <v>0.40900462962962958</v>
      </c>
      <c r="C711" t="s">
        <v>152</v>
      </c>
      <c r="D711" t="s">
        <v>36</v>
      </c>
      <c r="E711" t="s">
        <v>243</v>
      </c>
      <c r="F711">
        <v>-1500</v>
      </c>
      <c r="G711" t="s">
        <v>161</v>
      </c>
    </row>
    <row r="712" spans="1:7" x14ac:dyDescent="0.3">
      <c r="A712" s="42">
        <v>46109</v>
      </c>
      <c r="B712" s="43">
        <v>0.7515856481481481</v>
      </c>
      <c r="C712" t="s">
        <v>152</v>
      </c>
      <c r="D712" t="s">
        <v>49</v>
      </c>
      <c r="E712" t="s">
        <v>456</v>
      </c>
      <c r="F712">
        <v>-14600</v>
      </c>
      <c r="G712" t="s">
        <v>180</v>
      </c>
    </row>
    <row r="713" spans="1:7" x14ac:dyDescent="0.3">
      <c r="A713" s="42">
        <v>46109</v>
      </c>
      <c r="B713" s="43">
        <v>0.74956018518518519</v>
      </c>
      <c r="C713" t="s">
        <v>155</v>
      </c>
      <c r="D713" t="s">
        <v>155</v>
      </c>
      <c r="E713" t="s">
        <v>166</v>
      </c>
      <c r="F713">
        <v>-30000</v>
      </c>
      <c r="G713" t="s">
        <v>61</v>
      </c>
    </row>
    <row r="714" spans="1:7" x14ac:dyDescent="0.3">
      <c r="A714" s="42">
        <v>46109</v>
      </c>
      <c r="B714" s="43">
        <v>0.56381944444444443</v>
      </c>
      <c r="C714" t="s">
        <v>152</v>
      </c>
      <c r="D714" t="s">
        <v>42</v>
      </c>
      <c r="E714" t="s">
        <v>457</v>
      </c>
      <c r="F714">
        <v>-41800</v>
      </c>
      <c r="G714" t="s">
        <v>180</v>
      </c>
    </row>
    <row r="715" spans="1:7" x14ac:dyDescent="0.3">
      <c r="A715" s="42">
        <v>46109</v>
      </c>
      <c r="B715" s="43">
        <v>0.46255787037037038</v>
      </c>
      <c r="C715" t="s">
        <v>152</v>
      </c>
      <c r="D715" t="s">
        <v>38</v>
      </c>
      <c r="E715" t="s">
        <v>458</v>
      </c>
      <c r="F715">
        <v>-1000</v>
      </c>
      <c r="G715" t="s">
        <v>180</v>
      </c>
    </row>
    <row r="716" spans="1:7" x14ac:dyDescent="0.3">
      <c r="A716" s="42">
        <v>46109</v>
      </c>
      <c r="B716" s="43">
        <v>0.46212962962962961</v>
      </c>
      <c r="C716" t="s">
        <v>152</v>
      </c>
      <c r="D716" t="s">
        <v>38</v>
      </c>
      <c r="E716" t="s">
        <v>458</v>
      </c>
      <c r="F716">
        <v>-9800</v>
      </c>
      <c r="G716" t="s">
        <v>180</v>
      </c>
    </row>
    <row r="717" spans="1:7" x14ac:dyDescent="0.3">
      <c r="A717" s="42">
        <v>46109</v>
      </c>
      <c r="B717" s="43">
        <v>0.44971064814814821</v>
      </c>
      <c r="C717" t="s">
        <v>152</v>
      </c>
      <c r="D717" t="s">
        <v>47</v>
      </c>
      <c r="E717" t="s">
        <v>459</v>
      </c>
      <c r="F717">
        <v>-50000</v>
      </c>
      <c r="G717" t="s">
        <v>180</v>
      </c>
    </row>
    <row r="718" spans="1:7" x14ac:dyDescent="0.3">
      <c r="A718" s="42">
        <v>46109</v>
      </c>
      <c r="B718" s="43">
        <v>0.41320601851851851</v>
      </c>
      <c r="C718" t="s">
        <v>152</v>
      </c>
      <c r="D718" t="s">
        <v>36</v>
      </c>
      <c r="E718" t="s">
        <v>460</v>
      </c>
      <c r="F718">
        <v>-5150</v>
      </c>
      <c r="G718" t="s">
        <v>161</v>
      </c>
    </row>
    <row r="719" spans="1:7" x14ac:dyDescent="0.3">
      <c r="A719" s="42">
        <v>46109</v>
      </c>
      <c r="B719" s="43">
        <v>0.17899305555555561</v>
      </c>
      <c r="C719" t="s">
        <v>176</v>
      </c>
      <c r="D719" t="s">
        <v>28</v>
      </c>
      <c r="E719" t="s">
        <v>240</v>
      </c>
      <c r="F719">
        <v>31</v>
      </c>
      <c r="G719" t="s">
        <v>67</v>
      </c>
    </row>
    <row r="720" spans="1:7" x14ac:dyDescent="0.3">
      <c r="A720" s="42">
        <v>46109</v>
      </c>
      <c r="B720" s="43">
        <v>0.17153935185185179</v>
      </c>
      <c r="C720" t="s">
        <v>176</v>
      </c>
      <c r="D720" t="s">
        <v>28</v>
      </c>
      <c r="E720" t="s">
        <v>240</v>
      </c>
      <c r="F720">
        <v>177</v>
      </c>
      <c r="G720" t="s">
        <v>67</v>
      </c>
    </row>
    <row r="721" spans="1:7" x14ac:dyDescent="0.3">
      <c r="A721" s="42">
        <v>46109</v>
      </c>
      <c r="B721" s="43">
        <v>0.1438541666666667</v>
      </c>
      <c r="C721" t="s">
        <v>176</v>
      </c>
      <c r="D721" t="s">
        <v>28</v>
      </c>
      <c r="E721" t="s">
        <v>241</v>
      </c>
      <c r="F721">
        <v>0</v>
      </c>
      <c r="G721" t="s">
        <v>63</v>
      </c>
    </row>
    <row r="722" spans="1:7" x14ac:dyDescent="0.3">
      <c r="A722" s="42">
        <v>46109</v>
      </c>
      <c r="B722" s="43">
        <v>8.3206018518518512E-2</v>
      </c>
      <c r="C722" t="s">
        <v>155</v>
      </c>
      <c r="D722" t="s">
        <v>217</v>
      </c>
      <c r="E722" t="s">
        <v>242</v>
      </c>
      <c r="F722">
        <v>108</v>
      </c>
      <c r="G722" t="s">
        <v>68</v>
      </c>
    </row>
    <row r="723" spans="1:7" x14ac:dyDescent="0.3">
      <c r="A723" s="42">
        <v>46108</v>
      </c>
      <c r="B723" s="43">
        <v>0.82495370370370369</v>
      </c>
      <c r="C723" t="s">
        <v>152</v>
      </c>
      <c r="D723" t="s">
        <v>40</v>
      </c>
      <c r="E723" t="s">
        <v>461</v>
      </c>
      <c r="F723">
        <v>-3900</v>
      </c>
      <c r="G723" t="s">
        <v>154</v>
      </c>
    </row>
    <row r="724" spans="1:7" x14ac:dyDescent="0.3">
      <c r="A724" s="42">
        <v>46108</v>
      </c>
      <c r="B724" s="43">
        <v>0.82024305555555554</v>
      </c>
      <c r="C724" t="s">
        <v>152</v>
      </c>
      <c r="D724" t="s">
        <v>42</v>
      </c>
      <c r="E724" t="s">
        <v>462</v>
      </c>
      <c r="F724">
        <v>-1000</v>
      </c>
      <c r="G724" t="s">
        <v>154</v>
      </c>
    </row>
    <row r="725" spans="1:7" x14ac:dyDescent="0.3">
      <c r="A725" s="42">
        <v>46108</v>
      </c>
      <c r="B725" s="43">
        <v>0.76913194444444444</v>
      </c>
      <c r="C725" t="s">
        <v>152</v>
      </c>
      <c r="D725" t="s">
        <v>47</v>
      </c>
      <c r="E725" t="s">
        <v>463</v>
      </c>
      <c r="F725">
        <v>-500</v>
      </c>
      <c r="G725" t="s">
        <v>154</v>
      </c>
    </row>
    <row r="726" spans="1:7" x14ac:dyDescent="0.3">
      <c r="A726" s="42">
        <v>46108</v>
      </c>
      <c r="B726" s="43">
        <v>0.32284722222222217</v>
      </c>
      <c r="C726" t="s">
        <v>152</v>
      </c>
      <c r="D726" t="s">
        <v>44</v>
      </c>
      <c r="E726" t="s">
        <v>190</v>
      </c>
      <c r="F726">
        <v>-7780</v>
      </c>
      <c r="G726" t="s">
        <v>154</v>
      </c>
    </row>
    <row r="727" spans="1:7" x14ac:dyDescent="0.3">
      <c r="A727" s="42">
        <v>46107</v>
      </c>
      <c r="B727" s="43">
        <v>0.68187500000000001</v>
      </c>
      <c r="C727" t="s">
        <v>152</v>
      </c>
      <c r="D727" t="s">
        <v>50</v>
      </c>
      <c r="E727" t="s">
        <v>184</v>
      </c>
      <c r="F727">
        <v>-1600</v>
      </c>
      <c r="G727" t="s">
        <v>154</v>
      </c>
    </row>
    <row r="728" spans="1:7" x14ac:dyDescent="0.3">
      <c r="A728" s="42">
        <v>46107</v>
      </c>
      <c r="B728" s="43">
        <v>0.50667824074074075</v>
      </c>
      <c r="C728" t="s">
        <v>152</v>
      </c>
      <c r="D728" t="s">
        <v>49</v>
      </c>
      <c r="E728" t="s">
        <v>288</v>
      </c>
      <c r="F728">
        <v>-9400</v>
      </c>
      <c r="G728" t="s">
        <v>154</v>
      </c>
    </row>
    <row r="729" spans="1:7" x14ac:dyDescent="0.3">
      <c r="A729" s="42">
        <v>46107</v>
      </c>
      <c r="B729" s="43">
        <v>0.4097337962962963</v>
      </c>
      <c r="C729" t="s">
        <v>152</v>
      </c>
      <c r="D729" t="s">
        <v>36</v>
      </c>
      <c r="E729" t="s">
        <v>244</v>
      </c>
      <c r="F729">
        <v>-3500</v>
      </c>
      <c r="G729" t="s">
        <v>161</v>
      </c>
    </row>
    <row r="730" spans="1:7" x14ac:dyDescent="0.3">
      <c r="A730" s="42">
        <v>46107</v>
      </c>
      <c r="B730" s="43">
        <v>0</v>
      </c>
      <c r="C730" t="s">
        <v>152</v>
      </c>
      <c r="D730" t="s">
        <v>36</v>
      </c>
      <c r="E730" t="s">
        <v>464</v>
      </c>
      <c r="F730">
        <v>53500</v>
      </c>
      <c r="G730" t="s">
        <v>154</v>
      </c>
    </row>
    <row r="731" spans="1:7" x14ac:dyDescent="0.3">
      <c r="A731" s="42">
        <v>46107</v>
      </c>
      <c r="B731" s="43">
        <v>0</v>
      </c>
      <c r="C731" t="s">
        <v>152</v>
      </c>
      <c r="D731" t="s">
        <v>36</v>
      </c>
      <c r="E731" t="s">
        <v>464</v>
      </c>
      <c r="F731">
        <v>53500</v>
      </c>
      <c r="G731" t="s">
        <v>154</v>
      </c>
    </row>
    <row r="732" spans="1:7" x14ac:dyDescent="0.3">
      <c r="A732" s="42">
        <v>46106</v>
      </c>
      <c r="B732" s="43">
        <v>0.92797453703703703</v>
      </c>
      <c r="C732" t="s">
        <v>152</v>
      </c>
      <c r="D732" t="s">
        <v>40</v>
      </c>
      <c r="E732" t="s">
        <v>465</v>
      </c>
      <c r="F732">
        <v>-3600</v>
      </c>
      <c r="G732" t="s">
        <v>154</v>
      </c>
    </row>
    <row r="733" spans="1:7" x14ac:dyDescent="0.3">
      <c r="A733" s="42">
        <v>46106</v>
      </c>
      <c r="B733" s="43">
        <v>0.83666666666666667</v>
      </c>
      <c r="C733" t="s">
        <v>152</v>
      </c>
      <c r="D733" t="s">
        <v>37</v>
      </c>
      <c r="E733" t="s">
        <v>466</v>
      </c>
      <c r="F733">
        <v>-20000</v>
      </c>
      <c r="G733" t="s">
        <v>61</v>
      </c>
    </row>
    <row r="734" spans="1:7" x14ac:dyDescent="0.3">
      <c r="A734" s="42">
        <v>46106</v>
      </c>
      <c r="B734" s="43">
        <v>0.80690972222222224</v>
      </c>
      <c r="C734" t="s">
        <v>152</v>
      </c>
      <c r="D734" t="s">
        <v>37</v>
      </c>
      <c r="E734" t="s">
        <v>467</v>
      </c>
      <c r="F734">
        <v>-153178</v>
      </c>
      <c r="G734" t="s">
        <v>60</v>
      </c>
    </row>
    <row r="735" spans="1:7" x14ac:dyDescent="0.3">
      <c r="A735" s="42">
        <v>46106</v>
      </c>
      <c r="B735" s="43">
        <v>0.80546296296296294</v>
      </c>
      <c r="C735" t="s">
        <v>152</v>
      </c>
      <c r="D735" t="s">
        <v>40</v>
      </c>
      <c r="E735" t="s">
        <v>468</v>
      </c>
      <c r="F735">
        <v>-258304</v>
      </c>
      <c r="G735" t="s">
        <v>61</v>
      </c>
    </row>
    <row r="736" spans="1:7" x14ac:dyDescent="0.3">
      <c r="A736" s="42">
        <v>46106</v>
      </c>
      <c r="B736" s="43">
        <v>0.51876157407407408</v>
      </c>
      <c r="C736" t="s">
        <v>152</v>
      </c>
      <c r="D736" t="s">
        <v>50</v>
      </c>
      <c r="E736" t="s">
        <v>184</v>
      </c>
      <c r="F736">
        <v>-3200</v>
      </c>
      <c r="G736" t="s">
        <v>154</v>
      </c>
    </row>
    <row r="737" spans="1:7" x14ac:dyDescent="0.3">
      <c r="A737" s="42">
        <v>46106</v>
      </c>
      <c r="B737" s="43">
        <v>4.9062500000000002E-2</v>
      </c>
      <c r="C737" t="s">
        <v>176</v>
      </c>
      <c r="D737" t="s">
        <v>29</v>
      </c>
      <c r="E737" t="s">
        <v>249</v>
      </c>
      <c r="F737">
        <v>100000</v>
      </c>
      <c r="G737" t="s">
        <v>64</v>
      </c>
    </row>
    <row r="738" spans="1:7" x14ac:dyDescent="0.3">
      <c r="A738" s="42">
        <v>46106</v>
      </c>
      <c r="B738" s="43">
        <v>4.2372685185185187E-2</v>
      </c>
      <c r="C738" t="s">
        <v>152</v>
      </c>
      <c r="D738" t="s">
        <v>48</v>
      </c>
      <c r="E738" t="s">
        <v>251</v>
      </c>
      <c r="F738">
        <v>-300</v>
      </c>
      <c r="G738" t="s">
        <v>154</v>
      </c>
    </row>
    <row r="739" spans="1:7" x14ac:dyDescent="0.3">
      <c r="A739" s="42">
        <v>46105</v>
      </c>
      <c r="B739" s="43">
        <v>0.94015046296296301</v>
      </c>
      <c r="C739" t="s">
        <v>152</v>
      </c>
      <c r="D739" t="s">
        <v>49</v>
      </c>
      <c r="E739" t="s">
        <v>469</v>
      </c>
      <c r="F739">
        <v>-1600</v>
      </c>
      <c r="G739" t="s">
        <v>180</v>
      </c>
    </row>
    <row r="740" spans="1:7" x14ac:dyDescent="0.3">
      <c r="A740" s="42">
        <v>46105</v>
      </c>
      <c r="B740" s="43">
        <v>0.7720717592592593</v>
      </c>
      <c r="C740" t="s">
        <v>152</v>
      </c>
      <c r="D740" t="s">
        <v>40</v>
      </c>
      <c r="E740" t="s">
        <v>434</v>
      </c>
      <c r="F740">
        <v>-3700</v>
      </c>
      <c r="G740" t="s">
        <v>180</v>
      </c>
    </row>
    <row r="741" spans="1:7" x14ac:dyDescent="0.3">
      <c r="A741" s="42">
        <v>46105</v>
      </c>
      <c r="B741" s="43">
        <v>0.75525462962962964</v>
      </c>
      <c r="C741" t="s">
        <v>152</v>
      </c>
      <c r="D741" t="s">
        <v>40</v>
      </c>
      <c r="E741" t="s">
        <v>434</v>
      </c>
      <c r="F741">
        <v>-12000</v>
      </c>
      <c r="G741" t="s">
        <v>180</v>
      </c>
    </row>
    <row r="742" spans="1:7" x14ac:dyDescent="0.3">
      <c r="A742" s="42">
        <v>46105</v>
      </c>
      <c r="B742" s="43">
        <v>0.74144675925925929</v>
      </c>
      <c r="C742" t="s">
        <v>152</v>
      </c>
      <c r="D742" t="s">
        <v>36</v>
      </c>
      <c r="E742" t="s">
        <v>250</v>
      </c>
      <c r="F742">
        <v>-46000</v>
      </c>
      <c r="G742" t="s">
        <v>180</v>
      </c>
    </row>
    <row r="743" spans="1:7" x14ac:dyDescent="0.3">
      <c r="A743" s="42">
        <v>46105</v>
      </c>
      <c r="B743" s="43">
        <v>0.58597222222222223</v>
      </c>
      <c r="C743" t="s">
        <v>152</v>
      </c>
      <c r="D743" t="s">
        <v>36</v>
      </c>
      <c r="E743" t="s">
        <v>250</v>
      </c>
      <c r="F743">
        <v>-45900</v>
      </c>
      <c r="G743" t="s">
        <v>180</v>
      </c>
    </row>
    <row r="744" spans="1:7" x14ac:dyDescent="0.3">
      <c r="A744" s="42">
        <v>46105</v>
      </c>
      <c r="B744" s="43">
        <v>0.47462962962962962</v>
      </c>
      <c r="C744" t="s">
        <v>155</v>
      </c>
      <c r="D744" t="s">
        <v>163</v>
      </c>
      <c r="E744" t="s">
        <v>223</v>
      </c>
      <c r="F744">
        <v>754</v>
      </c>
      <c r="G744" t="s">
        <v>68</v>
      </c>
    </row>
    <row r="745" spans="1:7" x14ac:dyDescent="0.3">
      <c r="A745" s="42">
        <v>46105</v>
      </c>
      <c r="B745" s="43">
        <v>0.47462962962962962</v>
      </c>
      <c r="C745" t="s">
        <v>155</v>
      </c>
      <c r="D745" t="s">
        <v>163</v>
      </c>
      <c r="E745" t="s">
        <v>68</v>
      </c>
      <c r="F745">
        <v>-754</v>
      </c>
      <c r="G745" t="s">
        <v>67</v>
      </c>
    </row>
    <row r="746" spans="1:7" x14ac:dyDescent="0.3">
      <c r="A746" s="42">
        <v>46105</v>
      </c>
      <c r="B746" s="43">
        <v>0.36443287037037042</v>
      </c>
      <c r="C746" t="s">
        <v>152</v>
      </c>
      <c r="D746" t="s">
        <v>50</v>
      </c>
      <c r="E746" t="s">
        <v>184</v>
      </c>
      <c r="F746">
        <v>-1600</v>
      </c>
      <c r="G746" t="s">
        <v>180</v>
      </c>
    </row>
    <row r="747" spans="1:7" x14ac:dyDescent="0.3">
      <c r="A747" s="42">
        <v>46104</v>
      </c>
      <c r="B747" s="43">
        <v>0.85893518518518519</v>
      </c>
      <c r="C747" t="s">
        <v>152</v>
      </c>
      <c r="D747" t="s">
        <v>37</v>
      </c>
      <c r="E747" t="s">
        <v>470</v>
      </c>
      <c r="F747">
        <v>-16900</v>
      </c>
      <c r="G747" t="s">
        <v>60</v>
      </c>
    </row>
    <row r="748" spans="1:7" x14ac:dyDescent="0.3">
      <c r="A748" s="42">
        <v>46104</v>
      </c>
      <c r="B748" s="43">
        <v>0.84888888888888892</v>
      </c>
      <c r="C748" t="s">
        <v>152</v>
      </c>
      <c r="D748" t="s">
        <v>37</v>
      </c>
      <c r="E748" t="s">
        <v>471</v>
      </c>
      <c r="F748">
        <v>-14261</v>
      </c>
      <c r="G748" t="s">
        <v>61</v>
      </c>
    </row>
    <row r="749" spans="1:7" x14ac:dyDescent="0.3">
      <c r="A749" s="42">
        <v>46104</v>
      </c>
      <c r="B749" s="43">
        <v>0.77184027777777775</v>
      </c>
      <c r="C749" t="s">
        <v>152</v>
      </c>
      <c r="D749" t="s">
        <v>37</v>
      </c>
      <c r="E749" t="s">
        <v>256</v>
      </c>
      <c r="F749">
        <v>-346585</v>
      </c>
      <c r="G749" t="s">
        <v>67</v>
      </c>
    </row>
    <row r="750" spans="1:7" x14ac:dyDescent="0.3">
      <c r="A750" s="42">
        <v>46104</v>
      </c>
      <c r="B750" s="43">
        <v>0.68561342592592589</v>
      </c>
      <c r="C750" t="s">
        <v>152</v>
      </c>
      <c r="D750" t="s">
        <v>44</v>
      </c>
      <c r="E750" t="s">
        <v>190</v>
      </c>
      <c r="F750">
        <v>-54280</v>
      </c>
      <c r="G750" t="s">
        <v>154</v>
      </c>
    </row>
    <row r="751" spans="1:7" x14ac:dyDescent="0.3">
      <c r="A751" s="42">
        <v>46104</v>
      </c>
      <c r="B751" s="43">
        <v>0.68141203703703701</v>
      </c>
      <c r="C751" t="s">
        <v>152</v>
      </c>
      <c r="D751" t="s">
        <v>40</v>
      </c>
      <c r="E751" t="s">
        <v>472</v>
      </c>
      <c r="F751">
        <v>-96600</v>
      </c>
      <c r="G751" t="s">
        <v>182</v>
      </c>
    </row>
    <row r="752" spans="1:7" x14ac:dyDescent="0.3">
      <c r="A752" s="42">
        <v>46104</v>
      </c>
      <c r="B752" s="43">
        <v>0.63744212962962965</v>
      </c>
      <c r="C752" t="s">
        <v>152</v>
      </c>
      <c r="D752" t="s">
        <v>50</v>
      </c>
      <c r="E752" t="s">
        <v>184</v>
      </c>
      <c r="F752">
        <v>-3200</v>
      </c>
      <c r="G752" t="s">
        <v>180</v>
      </c>
    </row>
    <row r="753" spans="1:7" x14ac:dyDescent="0.3">
      <c r="A753" s="42">
        <v>46104</v>
      </c>
      <c r="B753" s="43">
        <v>0.54305555555555551</v>
      </c>
      <c r="C753" t="s">
        <v>152</v>
      </c>
      <c r="D753" t="s">
        <v>36</v>
      </c>
      <c r="E753" t="s">
        <v>464</v>
      </c>
      <c r="F753">
        <v>-53500</v>
      </c>
      <c r="G753" t="s">
        <v>154</v>
      </c>
    </row>
    <row r="754" spans="1:7" x14ac:dyDescent="0.3">
      <c r="A754" s="42">
        <v>46104</v>
      </c>
      <c r="B754" s="43">
        <v>0.52631944444444445</v>
      </c>
      <c r="C754" t="s">
        <v>152</v>
      </c>
      <c r="D754" t="s">
        <v>36</v>
      </c>
      <c r="E754" t="s">
        <v>464</v>
      </c>
      <c r="F754">
        <v>-53500</v>
      </c>
      <c r="G754" t="s">
        <v>154</v>
      </c>
    </row>
    <row r="755" spans="1:7" x14ac:dyDescent="0.3">
      <c r="A755" s="42">
        <v>46104</v>
      </c>
      <c r="B755" s="43">
        <v>0.41159722222222223</v>
      </c>
      <c r="C755" t="s">
        <v>152</v>
      </c>
      <c r="D755" t="s">
        <v>36</v>
      </c>
      <c r="E755" t="s">
        <v>244</v>
      </c>
      <c r="F755">
        <v>-3500</v>
      </c>
      <c r="G755" t="s">
        <v>161</v>
      </c>
    </row>
    <row r="756" spans="1:7" x14ac:dyDescent="0.3">
      <c r="A756" s="42">
        <v>46104</v>
      </c>
      <c r="B756" s="43">
        <v>0.35876157407407411</v>
      </c>
      <c r="C756" t="s">
        <v>152</v>
      </c>
      <c r="D756" t="s">
        <v>37</v>
      </c>
      <c r="E756" t="s">
        <v>366</v>
      </c>
      <c r="F756">
        <v>-218246</v>
      </c>
      <c r="G756" t="s">
        <v>67</v>
      </c>
    </row>
    <row r="757" spans="1:7" x14ac:dyDescent="0.3">
      <c r="A757" s="42">
        <v>46103</v>
      </c>
      <c r="B757" s="43">
        <v>0.43744212962962958</v>
      </c>
      <c r="C757" t="s">
        <v>152</v>
      </c>
      <c r="D757" t="s">
        <v>40</v>
      </c>
      <c r="E757" t="s">
        <v>455</v>
      </c>
      <c r="F757">
        <v>-6000</v>
      </c>
      <c r="G757" t="s">
        <v>180</v>
      </c>
    </row>
    <row r="758" spans="1:7" x14ac:dyDescent="0.3">
      <c r="A758" s="42">
        <v>46103</v>
      </c>
      <c r="B758" s="43">
        <v>0.43072916666666672</v>
      </c>
      <c r="C758" t="s">
        <v>152</v>
      </c>
      <c r="D758" t="s">
        <v>39</v>
      </c>
      <c r="E758" t="s">
        <v>391</v>
      </c>
      <c r="F758">
        <v>-20000</v>
      </c>
      <c r="G758" t="s">
        <v>182</v>
      </c>
    </row>
    <row r="759" spans="1:7" x14ac:dyDescent="0.3">
      <c r="A759" s="42">
        <v>46103</v>
      </c>
      <c r="B759" s="43">
        <v>0.40916666666666668</v>
      </c>
      <c r="C759" t="s">
        <v>152</v>
      </c>
      <c r="D759" t="s">
        <v>36</v>
      </c>
      <c r="E759" t="s">
        <v>243</v>
      </c>
      <c r="F759">
        <v>-1500</v>
      </c>
      <c r="G759" t="s">
        <v>161</v>
      </c>
    </row>
    <row r="760" spans="1:7" x14ac:dyDescent="0.3">
      <c r="A760" s="42">
        <v>46103</v>
      </c>
      <c r="B760" s="43">
        <v>0.40916666666666668</v>
      </c>
      <c r="C760" t="s">
        <v>152</v>
      </c>
      <c r="D760" t="s">
        <v>36</v>
      </c>
      <c r="E760" t="s">
        <v>244</v>
      </c>
      <c r="F760">
        <v>-2000</v>
      </c>
      <c r="G760" t="s">
        <v>161</v>
      </c>
    </row>
    <row r="761" spans="1:7" x14ac:dyDescent="0.3">
      <c r="A761" s="42">
        <v>46102</v>
      </c>
      <c r="B761" s="43">
        <v>0.48734953703703698</v>
      </c>
      <c r="C761" t="s">
        <v>176</v>
      </c>
      <c r="D761" t="s">
        <v>28</v>
      </c>
      <c r="E761" t="s">
        <v>273</v>
      </c>
      <c r="F761">
        <v>126</v>
      </c>
      <c r="G761" t="s">
        <v>66</v>
      </c>
    </row>
    <row r="762" spans="1:7" x14ac:dyDescent="0.3">
      <c r="A762" s="42">
        <v>46102</v>
      </c>
      <c r="B762" s="43">
        <v>0.45599537037037041</v>
      </c>
      <c r="C762" t="s">
        <v>152</v>
      </c>
      <c r="D762" t="s">
        <v>44</v>
      </c>
      <c r="E762" t="s">
        <v>473</v>
      </c>
      <c r="F762">
        <v>-7890</v>
      </c>
      <c r="G762" t="s">
        <v>266</v>
      </c>
    </row>
    <row r="763" spans="1:7" x14ac:dyDescent="0.3">
      <c r="A763" s="42">
        <v>46102</v>
      </c>
      <c r="B763" s="43">
        <v>0.40942129629629631</v>
      </c>
      <c r="C763" t="s">
        <v>152</v>
      </c>
      <c r="D763" t="s">
        <v>36</v>
      </c>
      <c r="E763" t="s">
        <v>243</v>
      </c>
      <c r="F763">
        <v>-1500</v>
      </c>
      <c r="G763" t="s">
        <v>161</v>
      </c>
    </row>
    <row r="764" spans="1:7" x14ac:dyDescent="0.3">
      <c r="A764" s="42">
        <v>46102</v>
      </c>
      <c r="B764" s="43">
        <v>0.40942129629629631</v>
      </c>
      <c r="C764" t="s">
        <v>152</v>
      </c>
      <c r="D764" t="s">
        <v>36</v>
      </c>
      <c r="E764" t="s">
        <v>244</v>
      </c>
      <c r="F764">
        <v>-2000</v>
      </c>
      <c r="G764" t="s">
        <v>161</v>
      </c>
    </row>
    <row r="765" spans="1:7" x14ac:dyDescent="0.3">
      <c r="A765" s="42">
        <v>46102</v>
      </c>
      <c r="B765" s="43">
        <v>0.34596064814814809</v>
      </c>
      <c r="C765" t="s">
        <v>152</v>
      </c>
      <c r="D765" t="s">
        <v>38</v>
      </c>
      <c r="E765" t="s">
        <v>402</v>
      </c>
      <c r="F765">
        <v>-4800</v>
      </c>
      <c r="G765" t="s">
        <v>154</v>
      </c>
    </row>
    <row r="766" spans="1:7" x14ac:dyDescent="0.3">
      <c r="A766" s="42">
        <v>46102</v>
      </c>
      <c r="B766" s="43">
        <v>0.34274305555555562</v>
      </c>
      <c r="C766" t="s">
        <v>152</v>
      </c>
      <c r="D766" t="s">
        <v>49</v>
      </c>
      <c r="E766" t="s">
        <v>474</v>
      </c>
      <c r="F766">
        <v>-51000</v>
      </c>
      <c r="G766" t="s">
        <v>154</v>
      </c>
    </row>
    <row r="767" spans="1:7" x14ac:dyDescent="0.3">
      <c r="A767" s="42">
        <v>46101</v>
      </c>
      <c r="B767" s="43">
        <v>0.84673611111111113</v>
      </c>
      <c r="C767" t="s">
        <v>155</v>
      </c>
      <c r="D767" t="s">
        <v>155</v>
      </c>
      <c r="E767" t="s">
        <v>166</v>
      </c>
      <c r="F767">
        <v>-19700</v>
      </c>
      <c r="G767" t="s">
        <v>61</v>
      </c>
    </row>
    <row r="768" spans="1:7" x14ac:dyDescent="0.3">
      <c r="A768" s="42">
        <v>46101</v>
      </c>
      <c r="B768" s="43">
        <v>0.4104976851851852</v>
      </c>
      <c r="C768" t="s">
        <v>152</v>
      </c>
      <c r="D768" t="s">
        <v>36</v>
      </c>
      <c r="E768" t="s">
        <v>243</v>
      </c>
      <c r="F768">
        <v>-1500</v>
      </c>
      <c r="G768" t="s">
        <v>161</v>
      </c>
    </row>
    <row r="769" spans="1:7" x14ac:dyDescent="0.3">
      <c r="A769" s="42">
        <v>46101</v>
      </c>
      <c r="B769" s="43">
        <v>0.4104976851851852</v>
      </c>
      <c r="C769" t="s">
        <v>152</v>
      </c>
      <c r="D769" t="s">
        <v>36</v>
      </c>
      <c r="E769" t="s">
        <v>244</v>
      </c>
      <c r="F769">
        <v>-2000</v>
      </c>
      <c r="G769" t="s">
        <v>161</v>
      </c>
    </row>
    <row r="770" spans="1:7" x14ac:dyDescent="0.3">
      <c r="A770" s="42">
        <v>46101</v>
      </c>
      <c r="B770" s="43">
        <v>0.33406249999999998</v>
      </c>
      <c r="C770" t="s">
        <v>176</v>
      </c>
      <c r="D770" t="s">
        <v>29</v>
      </c>
      <c r="E770" t="s">
        <v>29</v>
      </c>
      <c r="F770">
        <v>5218090</v>
      </c>
      <c r="G770" t="s">
        <v>60</v>
      </c>
    </row>
    <row r="771" spans="1:7" x14ac:dyDescent="0.3">
      <c r="A771" s="42">
        <v>46100</v>
      </c>
      <c r="B771" s="43">
        <v>0.66385416666666663</v>
      </c>
      <c r="C771" t="s">
        <v>152</v>
      </c>
      <c r="D771" t="s">
        <v>50</v>
      </c>
      <c r="E771" t="s">
        <v>184</v>
      </c>
      <c r="F771">
        <v>-1600</v>
      </c>
      <c r="G771" t="s">
        <v>154</v>
      </c>
    </row>
    <row r="772" spans="1:7" x14ac:dyDescent="0.3">
      <c r="A772" s="42">
        <v>46100</v>
      </c>
      <c r="B772" s="43">
        <v>0.56571759259259258</v>
      </c>
      <c r="C772" t="s">
        <v>152</v>
      </c>
      <c r="D772" t="s">
        <v>42</v>
      </c>
      <c r="E772" t="s">
        <v>475</v>
      </c>
      <c r="F772">
        <v>-7920</v>
      </c>
      <c r="G772" t="s">
        <v>182</v>
      </c>
    </row>
    <row r="773" spans="1:7" x14ac:dyDescent="0.3">
      <c r="A773" s="42">
        <v>46100</v>
      </c>
      <c r="B773" s="43">
        <v>0.56526620370370373</v>
      </c>
      <c r="C773" t="s">
        <v>152</v>
      </c>
      <c r="D773" t="s">
        <v>44</v>
      </c>
      <c r="E773" t="s">
        <v>476</v>
      </c>
      <c r="F773">
        <v>-2520</v>
      </c>
      <c r="G773" t="s">
        <v>182</v>
      </c>
    </row>
    <row r="774" spans="1:7" x14ac:dyDescent="0.3">
      <c r="A774" s="42">
        <v>46099</v>
      </c>
      <c r="B774" s="43">
        <v>0.47839120370370369</v>
      </c>
      <c r="C774" t="s">
        <v>152</v>
      </c>
      <c r="D774" t="s">
        <v>37</v>
      </c>
      <c r="E774" t="s">
        <v>477</v>
      </c>
      <c r="F774">
        <v>-20000</v>
      </c>
      <c r="G774" t="s">
        <v>60</v>
      </c>
    </row>
    <row r="775" spans="1:7" x14ac:dyDescent="0.3">
      <c r="A775" s="42">
        <v>46098</v>
      </c>
      <c r="B775" s="43">
        <v>0.51288194444444446</v>
      </c>
      <c r="C775" t="s">
        <v>152</v>
      </c>
      <c r="D775" t="s">
        <v>50</v>
      </c>
      <c r="E775" t="s">
        <v>184</v>
      </c>
      <c r="F775">
        <v>-7800</v>
      </c>
      <c r="G775" t="s">
        <v>154</v>
      </c>
    </row>
    <row r="776" spans="1:7" x14ac:dyDescent="0.3">
      <c r="A776" s="42">
        <v>46098</v>
      </c>
      <c r="B776" s="43">
        <v>0.41122685185185193</v>
      </c>
      <c r="C776" t="s">
        <v>152</v>
      </c>
      <c r="D776" t="s">
        <v>36</v>
      </c>
      <c r="E776" t="s">
        <v>226</v>
      </c>
      <c r="F776">
        <v>-6000</v>
      </c>
      <c r="G776" t="s">
        <v>161</v>
      </c>
    </row>
    <row r="777" spans="1:7" x14ac:dyDescent="0.3">
      <c r="A777" s="42">
        <v>46097</v>
      </c>
      <c r="B777" s="43">
        <v>0.81534722222222222</v>
      </c>
      <c r="C777" t="s">
        <v>155</v>
      </c>
      <c r="D777" t="s">
        <v>213</v>
      </c>
      <c r="E777" t="s">
        <v>478</v>
      </c>
      <c r="F777">
        <v>-1948908</v>
      </c>
      <c r="G777" t="s">
        <v>61</v>
      </c>
    </row>
    <row r="778" spans="1:7" x14ac:dyDescent="0.3">
      <c r="A778" s="42">
        <v>46097</v>
      </c>
      <c r="B778" s="43">
        <v>0.56890046296296293</v>
      </c>
      <c r="C778" t="s">
        <v>152</v>
      </c>
      <c r="D778" t="s">
        <v>42</v>
      </c>
      <c r="E778" t="s">
        <v>362</v>
      </c>
      <c r="F778">
        <v>-56590</v>
      </c>
      <c r="G778" t="s">
        <v>154</v>
      </c>
    </row>
    <row r="779" spans="1:7" x14ac:dyDescent="0.3">
      <c r="A779" s="42">
        <v>46097</v>
      </c>
      <c r="B779" s="43">
        <v>0.41533564814814822</v>
      </c>
      <c r="C779" t="s">
        <v>152</v>
      </c>
      <c r="D779" t="s">
        <v>36</v>
      </c>
      <c r="E779" t="s">
        <v>243</v>
      </c>
      <c r="F779">
        <v>-1500</v>
      </c>
      <c r="G779" t="s">
        <v>161</v>
      </c>
    </row>
    <row r="780" spans="1:7" x14ac:dyDescent="0.3">
      <c r="A780" s="42">
        <v>46097</v>
      </c>
      <c r="B780" s="43">
        <v>0.41533564814814822</v>
      </c>
      <c r="C780" t="s">
        <v>152</v>
      </c>
      <c r="D780" t="s">
        <v>36</v>
      </c>
      <c r="E780" t="s">
        <v>274</v>
      </c>
      <c r="F780">
        <v>-1750</v>
      </c>
      <c r="G780" t="s">
        <v>161</v>
      </c>
    </row>
    <row r="781" spans="1:7" x14ac:dyDescent="0.3">
      <c r="A781" s="42">
        <v>46096</v>
      </c>
      <c r="B781" s="43">
        <v>0.86026620370370366</v>
      </c>
      <c r="C781" t="s">
        <v>152</v>
      </c>
      <c r="D781" t="s">
        <v>44</v>
      </c>
      <c r="E781" t="s">
        <v>190</v>
      </c>
      <c r="F781">
        <v>-13900</v>
      </c>
      <c r="G781" t="s">
        <v>154</v>
      </c>
    </row>
    <row r="782" spans="1:7" x14ac:dyDescent="0.3">
      <c r="A782" s="42">
        <v>46096</v>
      </c>
      <c r="B782" s="43">
        <v>0.85783564814814817</v>
      </c>
      <c r="C782" t="s">
        <v>152</v>
      </c>
      <c r="D782" t="s">
        <v>46</v>
      </c>
      <c r="E782" t="s">
        <v>479</v>
      </c>
      <c r="F782">
        <v>-5699</v>
      </c>
      <c r="G782" t="s">
        <v>199</v>
      </c>
    </row>
    <row r="783" spans="1:7" x14ac:dyDescent="0.3">
      <c r="A783" s="42">
        <v>46096</v>
      </c>
      <c r="B783" s="43">
        <v>0.85783564814814817</v>
      </c>
      <c r="C783" t="s">
        <v>152</v>
      </c>
      <c r="D783" t="s">
        <v>46</v>
      </c>
      <c r="E783" t="s">
        <v>479</v>
      </c>
      <c r="F783">
        <v>-18201</v>
      </c>
      <c r="G783" t="s">
        <v>182</v>
      </c>
    </row>
    <row r="784" spans="1:7" x14ac:dyDescent="0.3">
      <c r="A784" s="42">
        <v>46096</v>
      </c>
      <c r="B784" s="43">
        <v>0.81857638888888884</v>
      </c>
      <c r="C784" t="s">
        <v>155</v>
      </c>
      <c r="D784" t="s">
        <v>155</v>
      </c>
      <c r="E784" t="s">
        <v>480</v>
      </c>
      <c r="F784">
        <v>-400000</v>
      </c>
      <c r="G784" t="s">
        <v>60</v>
      </c>
    </row>
    <row r="785" spans="1:7" x14ac:dyDescent="0.3">
      <c r="A785" s="42">
        <v>46096</v>
      </c>
      <c r="B785" s="43">
        <v>0.81716435185185188</v>
      </c>
      <c r="C785" t="s">
        <v>155</v>
      </c>
      <c r="D785" t="s">
        <v>155</v>
      </c>
      <c r="E785" t="s">
        <v>480</v>
      </c>
      <c r="F785">
        <v>91900</v>
      </c>
      <c r="G785" t="s">
        <v>67</v>
      </c>
    </row>
    <row r="786" spans="1:7" x14ac:dyDescent="0.3">
      <c r="A786" s="42">
        <v>46096</v>
      </c>
      <c r="B786" s="43">
        <v>0.67572916666666671</v>
      </c>
      <c r="C786" t="s">
        <v>152</v>
      </c>
      <c r="D786" t="s">
        <v>47</v>
      </c>
      <c r="E786" t="s">
        <v>423</v>
      </c>
      <c r="F786">
        <v>-50000</v>
      </c>
      <c r="G786" t="s">
        <v>154</v>
      </c>
    </row>
    <row r="787" spans="1:7" x14ac:dyDescent="0.3">
      <c r="A787" s="42">
        <v>46096</v>
      </c>
      <c r="B787" s="43">
        <v>0.54920138888888892</v>
      </c>
      <c r="C787" t="s">
        <v>152</v>
      </c>
      <c r="D787" t="s">
        <v>42</v>
      </c>
      <c r="E787" t="s">
        <v>481</v>
      </c>
      <c r="F787">
        <v>-32500</v>
      </c>
      <c r="G787" t="s">
        <v>154</v>
      </c>
    </row>
    <row r="788" spans="1:7" x14ac:dyDescent="0.3">
      <c r="A788" s="42">
        <v>46096</v>
      </c>
      <c r="B788" s="43">
        <v>0.54740740740740745</v>
      </c>
      <c r="C788" t="s">
        <v>152</v>
      </c>
      <c r="D788" t="s">
        <v>42</v>
      </c>
      <c r="E788" t="s">
        <v>481</v>
      </c>
      <c r="F788">
        <v>35000</v>
      </c>
      <c r="G788" t="s">
        <v>154</v>
      </c>
    </row>
    <row r="789" spans="1:7" x14ac:dyDescent="0.3">
      <c r="A789" s="42">
        <v>46096</v>
      </c>
      <c r="B789" s="43">
        <v>0.54517361111111107</v>
      </c>
      <c r="C789" t="s">
        <v>152</v>
      </c>
      <c r="D789" t="s">
        <v>42</v>
      </c>
      <c r="E789" t="s">
        <v>481</v>
      </c>
      <c r="F789">
        <v>-35000</v>
      </c>
      <c r="G789" t="s">
        <v>154</v>
      </c>
    </row>
    <row r="790" spans="1:7" x14ac:dyDescent="0.3">
      <c r="A790" s="42">
        <v>46096</v>
      </c>
      <c r="B790" s="43">
        <v>0.54464120370370372</v>
      </c>
      <c r="C790" t="s">
        <v>152</v>
      </c>
      <c r="D790" t="s">
        <v>42</v>
      </c>
      <c r="E790" t="s">
        <v>481</v>
      </c>
      <c r="F790">
        <v>35000</v>
      </c>
      <c r="G790" t="s">
        <v>154</v>
      </c>
    </row>
    <row r="791" spans="1:7" x14ac:dyDescent="0.3">
      <c r="A791" s="42">
        <v>46096</v>
      </c>
      <c r="B791" s="43">
        <v>0.54240740740740745</v>
      </c>
      <c r="C791" t="s">
        <v>152</v>
      </c>
      <c r="D791" t="s">
        <v>42</v>
      </c>
      <c r="E791" t="s">
        <v>481</v>
      </c>
      <c r="F791">
        <v>-35000</v>
      </c>
      <c r="G791" t="s">
        <v>154</v>
      </c>
    </row>
    <row r="792" spans="1:7" x14ac:dyDescent="0.3">
      <c r="A792" s="42">
        <v>46096</v>
      </c>
      <c r="B792" s="43">
        <v>0.40891203703703699</v>
      </c>
      <c r="C792" t="s">
        <v>152</v>
      </c>
      <c r="D792" t="s">
        <v>36</v>
      </c>
      <c r="E792" t="s">
        <v>226</v>
      </c>
      <c r="F792">
        <v>-1600</v>
      </c>
      <c r="G792" t="s">
        <v>161</v>
      </c>
    </row>
    <row r="793" spans="1:7" x14ac:dyDescent="0.3">
      <c r="A793" s="42">
        <v>46096</v>
      </c>
      <c r="B793" s="43">
        <v>0.40891203703703699</v>
      </c>
      <c r="C793" t="s">
        <v>152</v>
      </c>
      <c r="D793" t="s">
        <v>36</v>
      </c>
      <c r="E793" t="s">
        <v>244</v>
      </c>
      <c r="F793">
        <v>-1900</v>
      </c>
      <c r="G793" t="s">
        <v>161</v>
      </c>
    </row>
    <row r="794" spans="1:7" x14ac:dyDescent="0.3">
      <c r="A794" s="42">
        <v>46096</v>
      </c>
      <c r="B794" s="43">
        <v>0</v>
      </c>
      <c r="C794" t="s">
        <v>152</v>
      </c>
      <c r="D794" t="s">
        <v>37</v>
      </c>
      <c r="E794" t="s">
        <v>482</v>
      </c>
      <c r="F794">
        <v>14300</v>
      </c>
      <c r="G794" t="s">
        <v>186</v>
      </c>
    </row>
    <row r="795" spans="1:7" x14ac:dyDescent="0.3">
      <c r="A795" s="42">
        <v>46095</v>
      </c>
      <c r="B795" s="43">
        <v>0.8295717592592593</v>
      </c>
      <c r="C795" t="s">
        <v>152</v>
      </c>
      <c r="D795" t="s">
        <v>40</v>
      </c>
      <c r="E795" t="s">
        <v>483</v>
      </c>
      <c r="F795">
        <v>-8400</v>
      </c>
      <c r="G795" t="s">
        <v>154</v>
      </c>
    </row>
    <row r="796" spans="1:7" x14ac:dyDescent="0.3">
      <c r="A796" s="42">
        <v>46095</v>
      </c>
      <c r="B796" s="43">
        <v>0.73643518518518514</v>
      </c>
      <c r="C796" t="s">
        <v>152</v>
      </c>
      <c r="D796" t="s">
        <v>47</v>
      </c>
      <c r="E796" t="s">
        <v>372</v>
      </c>
      <c r="F796">
        <v>-4100</v>
      </c>
      <c r="G796" t="s">
        <v>236</v>
      </c>
    </row>
    <row r="797" spans="1:7" x14ac:dyDescent="0.3">
      <c r="A797" s="42">
        <v>46095</v>
      </c>
      <c r="B797" s="43">
        <v>0.68116898148148153</v>
      </c>
      <c r="C797" t="s">
        <v>152</v>
      </c>
      <c r="D797" t="s">
        <v>40</v>
      </c>
      <c r="E797" t="s">
        <v>484</v>
      </c>
      <c r="F797">
        <v>-2900</v>
      </c>
      <c r="G797" t="s">
        <v>154</v>
      </c>
    </row>
    <row r="798" spans="1:7" x14ac:dyDescent="0.3">
      <c r="A798" s="42">
        <v>46095</v>
      </c>
      <c r="B798" s="43">
        <v>0.40945601851851848</v>
      </c>
      <c r="C798" t="s">
        <v>152</v>
      </c>
      <c r="D798" t="s">
        <v>36</v>
      </c>
      <c r="E798" t="s">
        <v>274</v>
      </c>
      <c r="F798">
        <v>-1650</v>
      </c>
      <c r="G798" t="s">
        <v>161</v>
      </c>
    </row>
    <row r="799" spans="1:7" x14ac:dyDescent="0.3">
      <c r="A799" s="42">
        <v>46094</v>
      </c>
      <c r="B799" s="43">
        <v>0.96096064814814819</v>
      </c>
      <c r="C799" t="s">
        <v>152</v>
      </c>
      <c r="D799" t="s">
        <v>44</v>
      </c>
      <c r="E799" t="s">
        <v>190</v>
      </c>
      <c r="F799">
        <v>-15850</v>
      </c>
      <c r="G799" t="s">
        <v>154</v>
      </c>
    </row>
    <row r="800" spans="1:7" x14ac:dyDescent="0.3">
      <c r="A800" s="42">
        <v>46094</v>
      </c>
      <c r="B800" s="43">
        <v>0.81016203703703704</v>
      </c>
      <c r="C800" t="s">
        <v>155</v>
      </c>
      <c r="D800" t="s">
        <v>213</v>
      </c>
      <c r="E800" t="s">
        <v>326</v>
      </c>
      <c r="F800">
        <v>-413296</v>
      </c>
      <c r="G800" t="s">
        <v>61</v>
      </c>
    </row>
    <row r="801" spans="1:7" x14ac:dyDescent="0.3">
      <c r="A801" s="42">
        <v>46094</v>
      </c>
      <c r="B801" s="43">
        <v>0.50024305555555559</v>
      </c>
      <c r="C801" t="s">
        <v>152</v>
      </c>
      <c r="D801" t="s">
        <v>50</v>
      </c>
      <c r="E801" t="s">
        <v>184</v>
      </c>
      <c r="F801">
        <v>-6400</v>
      </c>
      <c r="G801" t="s">
        <v>154</v>
      </c>
    </row>
    <row r="802" spans="1:7" x14ac:dyDescent="0.3">
      <c r="A802" s="42">
        <v>46094</v>
      </c>
      <c r="B802" s="43">
        <v>0.42265046296296288</v>
      </c>
      <c r="C802" t="s">
        <v>152</v>
      </c>
      <c r="D802" t="s">
        <v>36</v>
      </c>
      <c r="E802" t="s">
        <v>226</v>
      </c>
      <c r="F802">
        <v>-1600</v>
      </c>
      <c r="G802" t="s">
        <v>161</v>
      </c>
    </row>
    <row r="803" spans="1:7" x14ac:dyDescent="0.3">
      <c r="A803" s="42">
        <v>46094</v>
      </c>
      <c r="B803" s="43">
        <v>0.4226388888888889</v>
      </c>
      <c r="C803" t="s">
        <v>152</v>
      </c>
      <c r="D803" t="s">
        <v>36</v>
      </c>
      <c r="E803" t="s">
        <v>314</v>
      </c>
      <c r="F803">
        <v>-3450</v>
      </c>
      <c r="G803" t="s">
        <v>161</v>
      </c>
    </row>
    <row r="804" spans="1:7" x14ac:dyDescent="0.3">
      <c r="A804" s="42">
        <v>46094</v>
      </c>
      <c r="B804" s="43">
        <v>0.42100694444444442</v>
      </c>
      <c r="C804" t="s">
        <v>152</v>
      </c>
      <c r="D804" t="s">
        <v>37</v>
      </c>
      <c r="E804" t="s">
        <v>482</v>
      </c>
      <c r="F804">
        <v>-14300</v>
      </c>
      <c r="G804" t="s">
        <v>186</v>
      </c>
    </row>
    <row r="805" spans="1:7" x14ac:dyDescent="0.3">
      <c r="A805" s="42">
        <v>46093</v>
      </c>
      <c r="B805" s="43">
        <v>0.54439814814814813</v>
      </c>
      <c r="C805" t="s">
        <v>176</v>
      </c>
      <c r="D805" t="s">
        <v>28</v>
      </c>
      <c r="E805" t="s">
        <v>178</v>
      </c>
      <c r="F805">
        <v>14550</v>
      </c>
      <c r="G805" t="s">
        <v>61</v>
      </c>
    </row>
    <row r="806" spans="1:7" x14ac:dyDescent="0.3">
      <c r="A806" s="42">
        <v>46093</v>
      </c>
      <c r="B806" s="43">
        <v>0.49915509259259261</v>
      </c>
      <c r="C806" t="s">
        <v>152</v>
      </c>
      <c r="D806" t="s">
        <v>50</v>
      </c>
      <c r="E806" t="s">
        <v>184</v>
      </c>
      <c r="F806">
        <v>-4800</v>
      </c>
      <c r="G806" t="s">
        <v>186</v>
      </c>
    </row>
    <row r="807" spans="1:7" x14ac:dyDescent="0.3">
      <c r="A807" s="42">
        <v>46093</v>
      </c>
      <c r="B807" s="43">
        <v>0.44355324074074082</v>
      </c>
      <c r="C807" t="s">
        <v>152</v>
      </c>
      <c r="D807" t="s">
        <v>44</v>
      </c>
      <c r="E807" t="s">
        <v>159</v>
      </c>
      <c r="F807">
        <v>-8900</v>
      </c>
      <c r="G807" t="s">
        <v>154</v>
      </c>
    </row>
    <row r="808" spans="1:7" x14ac:dyDescent="0.3">
      <c r="A808" s="42">
        <v>46093</v>
      </c>
      <c r="B808" s="43">
        <v>0.41946759259259259</v>
      </c>
      <c r="C808" t="s">
        <v>152</v>
      </c>
      <c r="D808" t="s">
        <v>36</v>
      </c>
      <c r="E808" t="s">
        <v>243</v>
      </c>
      <c r="F808">
        <v>-1500</v>
      </c>
      <c r="G808" t="s">
        <v>161</v>
      </c>
    </row>
    <row r="809" spans="1:7" x14ac:dyDescent="0.3">
      <c r="A809" s="42">
        <v>46093</v>
      </c>
      <c r="B809" s="43">
        <v>0.41946759259259259</v>
      </c>
      <c r="C809" t="s">
        <v>152</v>
      </c>
      <c r="D809" t="s">
        <v>36</v>
      </c>
      <c r="E809" t="s">
        <v>244</v>
      </c>
      <c r="F809">
        <v>-1900</v>
      </c>
      <c r="G809" t="s">
        <v>161</v>
      </c>
    </row>
    <row r="810" spans="1:7" x14ac:dyDescent="0.3">
      <c r="A810" s="42">
        <v>46093</v>
      </c>
      <c r="B810" s="43">
        <v>0.3649189814814815</v>
      </c>
      <c r="C810" t="s">
        <v>152</v>
      </c>
      <c r="D810" t="s">
        <v>50</v>
      </c>
      <c r="E810" t="s">
        <v>184</v>
      </c>
      <c r="F810">
        <v>-1600</v>
      </c>
      <c r="G810" t="s">
        <v>186</v>
      </c>
    </row>
    <row r="811" spans="1:7" x14ac:dyDescent="0.3">
      <c r="A811" s="42">
        <v>46092</v>
      </c>
      <c r="B811" s="43">
        <v>0.92864583333333328</v>
      </c>
      <c r="C811" t="s">
        <v>152</v>
      </c>
      <c r="D811" t="s">
        <v>40</v>
      </c>
      <c r="E811" t="s">
        <v>485</v>
      </c>
      <c r="F811">
        <v>-1500</v>
      </c>
      <c r="G811" t="s">
        <v>186</v>
      </c>
    </row>
    <row r="812" spans="1:7" x14ac:dyDescent="0.3">
      <c r="A812" s="42">
        <v>46092</v>
      </c>
      <c r="B812" s="43">
        <v>0.92236111111111108</v>
      </c>
      <c r="C812" t="s">
        <v>152</v>
      </c>
      <c r="D812" t="s">
        <v>47</v>
      </c>
      <c r="E812" t="s">
        <v>486</v>
      </c>
      <c r="F812">
        <v>-30000</v>
      </c>
      <c r="G812" t="s">
        <v>186</v>
      </c>
    </row>
    <row r="813" spans="1:7" x14ac:dyDescent="0.3">
      <c r="A813" s="42">
        <v>46092</v>
      </c>
      <c r="B813" s="43">
        <v>0.65440972222222227</v>
      </c>
      <c r="C813" t="s">
        <v>155</v>
      </c>
      <c r="D813" t="s">
        <v>155</v>
      </c>
      <c r="E813" t="s">
        <v>281</v>
      </c>
      <c r="F813">
        <v>-10000000</v>
      </c>
      <c r="G813" t="s">
        <v>60</v>
      </c>
    </row>
    <row r="814" spans="1:7" x14ac:dyDescent="0.3">
      <c r="A814" s="42">
        <v>46092</v>
      </c>
      <c r="B814" s="43">
        <v>0.64414351851851848</v>
      </c>
      <c r="C814" t="s">
        <v>155</v>
      </c>
      <c r="D814" t="s">
        <v>155</v>
      </c>
      <c r="E814" t="s">
        <v>166</v>
      </c>
      <c r="F814">
        <v>-100000</v>
      </c>
      <c r="G814" t="s">
        <v>61</v>
      </c>
    </row>
    <row r="815" spans="1:7" x14ac:dyDescent="0.3">
      <c r="A815" s="42">
        <v>46092</v>
      </c>
      <c r="B815" s="43">
        <v>0.55962962962962959</v>
      </c>
      <c r="C815" t="s">
        <v>152</v>
      </c>
      <c r="D815" t="s">
        <v>49</v>
      </c>
      <c r="E815" t="s">
        <v>288</v>
      </c>
      <c r="F815">
        <v>-12810</v>
      </c>
      <c r="G815" t="s">
        <v>154</v>
      </c>
    </row>
    <row r="816" spans="1:7" x14ac:dyDescent="0.3">
      <c r="A816" s="42">
        <v>46091</v>
      </c>
      <c r="B816" s="43">
        <v>0.84711805555555553</v>
      </c>
      <c r="C816" t="s">
        <v>152</v>
      </c>
      <c r="D816" t="s">
        <v>44</v>
      </c>
      <c r="E816" t="s">
        <v>430</v>
      </c>
      <c r="F816">
        <v>-16730</v>
      </c>
      <c r="G816" t="s">
        <v>266</v>
      </c>
    </row>
    <row r="817" spans="1:7" x14ac:dyDescent="0.3">
      <c r="A817" s="42">
        <v>46091</v>
      </c>
      <c r="B817" s="43">
        <v>0.8451967592592593</v>
      </c>
      <c r="C817" t="s">
        <v>152</v>
      </c>
      <c r="D817" t="s">
        <v>44</v>
      </c>
      <c r="E817" t="s">
        <v>375</v>
      </c>
      <c r="F817">
        <v>-33620</v>
      </c>
      <c r="G817" t="s">
        <v>266</v>
      </c>
    </row>
    <row r="818" spans="1:7" x14ac:dyDescent="0.3">
      <c r="A818" s="42">
        <v>46091</v>
      </c>
      <c r="B818" s="43">
        <v>0.83854166666666663</v>
      </c>
      <c r="C818" t="s">
        <v>152</v>
      </c>
      <c r="D818" t="s">
        <v>44</v>
      </c>
      <c r="E818" t="s">
        <v>190</v>
      </c>
      <c r="F818">
        <v>-17210</v>
      </c>
      <c r="G818" t="s">
        <v>154</v>
      </c>
    </row>
    <row r="819" spans="1:7" x14ac:dyDescent="0.3">
      <c r="A819" s="42">
        <v>46091</v>
      </c>
      <c r="B819" s="43">
        <v>0.83641203703703704</v>
      </c>
      <c r="C819" t="s">
        <v>152</v>
      </c>
      <c r="D819" t="s">
        <v>44</v>
      </c>
      <c r="E819" t="s">
        <v>190</v>
      </c>
      <c r="F819">
        <v>-36800</v>
      </c>
      <c r="G819" t="s">
        <v>154</v>
      </c>
    </row>
    <row r="820" spans="1:7" x14ac:dyDescent="0.3">
      <c r="A820" s="42">
        <v>46091</v>
      </c>
      <c r="B820" s="43">
        <v>0.65097222222222217</v>
      </c>
      <c r="C820" t="s">
        <v>176</v>
      </c>
      <c r="D820" t="s">
        <v>32</v>
      </c>
      <c r="E820" t="s">
        <v>177</v>
      </c>
      <c r="F820">
        <v>392820</v>
      </c>
      <c r="G820" t="s">
        <v>61</v>
      </c>
    </row>
    <row r="821" spans="1:7" x14ac:dyDescent="0.3">
      <c r="A821" s="42">
        <v>46091</v>
      </c>
      <c r="B821" s="43">
        <v>0.61480324074074078</v>
      </c>
      <c r="C821" t="s">
        <v>152</v>
      </c>
      <c r="D821" t="s">
        <v>44</v>
      </c>
      <c r="E821" t="s">
        <v>190</v>
      </c>
      <c r="F821">
        <v>-1800</v>
      </c>
      <c r="G821" t="s">
        <v>154</v>
      </c>
    </row>
    <row r="822" spans="1:7" x14ac:dyDescent="0.3">
      <c r="A822" s="42">
        <v>46091</v>
      </c>
      <c r="B822" s="43">
        <v>0.5647685185185185</v>
      </c>
      <c r="C822" t="s">
        <v>152</v>
      </c>
      <c r="D822" t="s">
        <v>44</v>
      </c>
      <c r="E822" t="s">
        <v>179</v>
      </c>
      <c r="F822">
        <v>-34900</v>
      </c>
      <c r="G822" t="s">
        <v>180</v>
      </c>
    </row>
    <row r="823" spans="1:7" x14ac:dyDescent="0.3">
      <c r="A823" s="42">
        <v>46091</v>
      </c>
      <c r="B823" s="43">
        <v>0.5412731481481482</v>
      </c>
      <c r="C823" t="s">
        <v>152</v>
      </c>
      <c r="D823" t="s">
        <v>49</v>
      </c>
      <c r="E823" t="s">
        <v>487</v>
      </c>
      <c r="F823">
        <v>-2000</v>
      </c>
      <c r="G823" t="s">
        <v>186</v>
      </c>
    </row>
    <row r="824" spans="1:7" x14ac:dyDescent="0.3">
      <c r="A824" s="42">
        <v>46090</v>
      </c>
      <c r="B824" s="43">
        <v>0.81055555555555558</v>
      </c>
      <c r="C824" t="s">
        <v>152</v>
      </c>
      <c r="D824" t="s">
        <v>43</v>
      </c>
      <c r="E824" t="s">
        <v>384</v>
      </c>
      <c r="F824">
        <v>-325583</v>
      </c>
      <c r="G824" t="s">
        <v>180</v>
      </c>
    </row>
    <row r="825" spans="1:7" x14ac:dyDescent="0.3">
      <c r="A825" s="42">
        <v>46090</v>
      </c>
      <c r="B825" s="43">
        <v>0.41070601851851851</v>
      </c>
      <c r="C825" t="s">
        <v>152</v>
      </c>
      <c r="D825" t="s">
        <v>36</v>
      </c>
      <c r="E825" t="s">
        <v>243</v>
      </c>
      <c r="F825">
        <v>-1500</v>
      </c>
      <c r="G825" t="s">
        <v>161</v>
      </c>
    </row>
    <row r="826" spans="1:7" x14ac:dyDescent="0.3">
      <c r="A826" s="42">
        <v>46090</v>
      </c>
      <c r="B826" s="43">
        <v>0.41070601851851851</v>
      </c>
      <c r="C826" t="s">
        <v>152</v>
      </c>
      <c r="D826" t="s">
        <v>36</v>
      </c>
      <c r="E826" t="s">
        <v>244</v>
      </c>
      <c r="F826">
        <v>-1900</v>
      </c>
      <c r="G826" t="s">
        <v>161</v>
      </c>
    </row>
    <row r="827" spans="1:7" x14ac:dyDescent="0.3">
      <c r="A827" s="42">
        <v>46090</v>
      </c>
      <c r="B827" s="43">
        <v>4.2372685185185187E-2</v>
      </c>
      <c r="C827" t="s">
        <v>152</v>
      </c>
      <c r="D827" t="s">
        <v>48</v>
      </c>
      <c r="E827" t="s">
        <v>311</v>
      </c>
      <c r="F827">
        <v>-39930</v>
      </c>
      <c r="G827" t="s">
        <v>154</v>
      </c>
    </row>
    <row r="828" spans="1:7" x14ac:dyDescent="0.3">
      <c r="A828" s="42">
        <v>46090</v>
      </c>
      <c r="B828" s="43">
        <v>4.2372685185185187E-2</v>
      </c>
      <c r="C828" t="s">
        <v>152</v>
      </c>
      <c r="D828" t="s">
        <v>48</v>
      </c>
      <c r="E828" t="s">
        <v>311</v>
      </c>
      <c r="F828">
        <v>-61860</v>
      </c>
      <c r="G828" t="s">
        <v>154</v>
      </c>
    </row>
    <row r="829" spans="1:7" x14ac:dyDescent="0.3">
      <c r="A829" s="42">
        <v>46089</v>
      </c>
      <c r="B829" s="43">
        <v>0.73844907407407412</v>
      </c>
      <c r="C829" t="s">
        <v>155</v>
      </c>
      <c r="D829" t="s">
        <v>163</v>
      </c>
      <c r="E829" t="s">
        <v>164</v>
      </c>
      <c r="F829">
        <v>205500</v>
      </c>
      <c r="G829" t="s">
        <v>158</v>
      </c>
    </row>
    <row r="830" spans="1:7" x14ac:dyDescent="0.3">
      <c r="A830" s="42">
        <v>46089</v>
      </c>
      <c r="B830" s="43">
        <v>0.73844907407407412</v>
      </c>
      <c r="C830" t="s">
        <v>155</v>
      </c>
      <c r="D830" t="s">
        <v>155</v>
      </c>
      <c r="E830" t="s">
        <v>488</v>
      </c>
      <c r="F830">
        <v>-250000</v>
      </c>
      <c r="G830" t="s">
        <v>158</v>
      </c>
    </row>
    <row r="831" spans="1:7" x14ac:dyDescent="0.3">
      <c r="A831" s="42">
        <v>46089</v>
      </c>
      <c r="B831" s="43">
        <v>0.73844907407407412</v>
      </c>
      <c r="C831" t="s">
        <v>155</v>
      </c>
      <c r="D831" t="s">
        <v>163</v>
      </c>
      <c r="E831" t="s">
        <v>166</v>
      </c>
      <c r="F831">
        <v>-205500</v>
      </c>
      <c r="G831" t="s">
        <v>61</v>
      </c>
    </row>
    <row r="832" spans="1:7" x14ac:dyDescent="0.3">
      <c r="A832" s="42">
        <v>46089</v>
      </c>
      <c r="B832" s="43">
        <v>0.7152546296296296</v>
      </c>
      <c r="C832" t="s">
        <v>155</v>
      </c>
      <c r="D832" t="s">
        <v>155</v>
      </c>
      <c r="E832" t="s">
        <v>489</v>
      </c>
      <c r="F832">
        <v>-50000</v>
      </c>
      <c r="G832" t="s">
        <v>60</v>
      </c>
    </row>
    <row r="833" spans="1:7" x14ac:dyDescent="0.3">
      <c r="A833" s="42">
        <v>46089</v>
      </c>
      <c r="B833" s="43">
        <v>0.71458333333333335</v>
      </c>
      <c r="C833" t="s">
        <v>155</v>
      </c>
      <c r="D833" t="s">
        <v>163</v>
      </c>
      <c r="E833" t="s">
        <v>7</v>
      </c>
      <c r="F833">
        <v>-3000000</v>
      </c>
      <c r="G833" t="s">
        <v>60</v>
      </c>
    </row>
    <row r="834" spans="1:7" x14ac:dyDescent="0.3">
      <c r="A834" s="42">
        <v>46089</v>
      </c>
      <c r="B834" s="43">
        <v>0.71458333333333335</v>
      </c>
      <c r="C834" t="s">
        <v>155</v>
      </c>
      <c r="D834" t="s">
        <v>163</v>
      </c>
      <c r="E834" t="s">
        <v>7</v>
      </c>
      <c r="F834">
        <v>3000000</v>
      </c>
      <c r="G834" t="s">
        <v>61</v>
      </c>
    </row>
    <row r="835" spans="1:7" x14ac:dyDescent="0.3">
      <c r="A835" s="42">
        <v>46089</v>
      </c>
      <c r="B835" s="43">
        <v>0.49465277777777777</v>
      </c>
      <c r="C835" t="s">
        <v>152</v>
      </c>
      <c r="D835" t="s">
        <v>38</v>
      </c>
      <c r="E835" t="s">
        <v>490</v>
      </c>
      <c r="F835">
        <v>-43500</v>
      </c>
      <c r="G835" t="s">
        <v>186</v>
      </c>
    </row>
    <row r="836" spans="1:7" x14ac:dyDescent="0.3">
      <c r="A836" s="42">
        <v>46089</v>
      </c>
      <c r="B836" s="43">
        <v>0.41021990740740738</v>
      </c>
      <c r="C836" t="s">
        <v>152</v>
      </c>
      <c r="D836" t="s">
        <v>36</v>
      </c>
      <c r="E836" t="s">
        <v>243</v>
      </c>
      <c r="F836">
        <v>-1500</v>
      </c>
      <c r="G836" t="s">
        <v>161</v>
      </c>
    </row>
    <row r="837" spans="1:7" x14ac:dyDescent="0.3">
      <c r="A837" s="42">
        <v>46089</v>
      </c>
      <c r="B837" s="43">
        <v>0.41021990740740738</v>
      </c>
      <c r="C837" t="s">
        <v>152</v>
      </c>
      <c r="D837" t="s">
        <v>36</v>
      </c>
      <c r="E837" t="s">
        <v>244</v>
      </c>
      <c r="F837">
        <v>-2000</v>
      </c>
      <c r="G837" t="s">
        <v>161</v>
      </c>
    </row>
    <row r="838" spans="1:7" x14ac:dyDescent="0.3">
      <c r="A838" s="42">
        <v>46088</v>
      </c>
      <c r="B838" s="43">
        <v>0.73984953703703704</v>
      </c>
      <c r="C838" t="s">
        <v>155</v>
      </c>
      <c r="D838" t="s">
        <v>155</v>
      </c>
      <c r="E838" t="s">
        <v>281</v>
      </c>
      <c r="F838">
        <v>-20000000</v>
      </c>
      <c r="G838" t="s">
        <v>61</v>
      </c>
    </row>
    <row r="839" spans="1:7" x14ac:dyDescent="0.3">
      <c r="A839" s="42">
        <v>46088</v>
      </c>
      <c r="B839" s="43">
        <v>0.52229166666666671</v>
      </c>
      <c r="C839" t="s">
        <v>152</v>
      </c>
      <c r="D839" t="s">
        <v>40</v>
      </c>
      <c r="E839" t="s">
        <v>329</v>
      </c>
      <c r="F839">
        <v>-2000</v>
      </c>
      <c r="G839" t="s">
        <v>186</v>
      </c>
    </row>
    <row r="840" spans="1:7" x14ac:dyDescent="0.3">
      <c r="A840" s="42">
        <v>46088</v>
      </c>
      <c r="B840" s="43">
        <v>0.49570601851851848</v>
      </c>
      <c r="C840" t="s">
        <v>152</v>
      </c>
      <c r="D840" t="s">
        <v>42</v>
      </c>
      <c r="E840" t="s">
        <v>491</v>
      </c>
      <c r="F840">
        <v>-8100</v>
      </c>
      <c r="G840" t="s">
        <v>186</v>
      </c>
    </row>
    <row r="841" spans="1:7" x14ac:dyDescent="0.3">
      <c r="A841" s="42">
        <v>46088</v>
      </c>
      <c r="B841" s="43">
        <v>0.49524305555555548</v>
      </c>
      <c r="C841" t="s">
        <v>152</v>
      </c>
      <c r="D841" t="s">
        <v>42</v>
      </c>
      <c r="E841" t="s">
        <v>491</v>
      </c>
      <c r="F841">
        <v>-4800</v>
      </c>
      <c r="G841" t="s">
        <v>186</v>
      </c>
    </row>
    <row r="842" spans="1:7" x14ac:dyDescent="0.3">
      <c r="A842" s="42">
        <v>46088</v>
      </c>
      <c r="B842" s="43">
        <v>0.41025462962962961</v>
      </c>
      <c r="C842" t="s">
        <v>152</v>
      </c>
      <c r="D842" t="s">
        <v>36</v>
      </c>
      <c r="E842" t="s">
        <v>244</v>
      </c>
      <c r="F842">
        <v>-3500</v>
      </c>
      <c r="G842" t="s">
        <v>161</v>
      </c>
    </row>
    <row r="843" spans="1:7" x14ac:dyDescent="0.3">
      <c r="A843" s="42">
        <v>46087</v>
      </c>
      <c r="B843" s="43">
        <v>0.91312499999999996</v>
      </c>
      <c r="C843" t="s">
        <v>155</v>
      </c>
      <c r="D843" t="s">
        <v>163</v>
      </c>
      <c r="E843" t="s">
        <v>7</v>
      </c>
      <c r="F843">
        <v>-500000</v>
      </c>
      <c r="G843" t="s">
        <v>67</v>
      </c>
    </row>
    <row r="844" spans="1:7" x14ac:dyDescent="0.3">
      <c r="A844" s="42">
        <v>46087</v>
      </c>
      <c r="B844" s="43">
        <v>0.91312499999999996</v>
      </c>
      <c r="C844" t="s">
        <v>155</v>
      </c>
      <c r="D844" t="s">
        <v>163</v>
      </c>
      <c r="E844" t="s">
        <v>7</v>
      </c>
      <c r="F844">
        <v>500000</v>
      </c>
      <c r="G844" t="s">
        <v>67</v>
      </c>
    </row>
    <row r="845" spans="1:7" x14ac:dyDescent="0.3">
      <c r="A845" s="42">
        <v>46087</v>
      </c>
      <c r="B845" s="43">
        <v>0.69612268518518516</v>
      </c>
      <c r="C845" t="s">
        <v>152</v>
      </c>
      <c r="D845" t="s">
        <v>42</v>
      </c>
      <c r="E845" t="s">
        <v>492</v>
      </c>
      <c r="F845">
        <v>-21000</v>
      </c>
      <c r="G845" t="s">
        <v>266</v>
      </c>
    </row>
    <row r="846" spans="1:7" x14ac:dyDescent="0.3">
      <c r="A846" s="42">
        <v>46087</v>
      </c>
      <c r="B846" s="43">
        <v>0.50271990740740746</v>
      </c>
      <c r="C846" t="s">
        <v>152</v>
      </c>
      <c r="D846" t="s">
        <v>50</v>
      </c>
      <c r="E846" t="s">
        <v>184</v>
      </c>
      <c r="F846">
        <v>-9600</v>
      </c>
      <c r="G846" t="s">
        <v>186</v>
      </c>
    </row>
    <row r="847" spans="1:7" x14ac:dyDescent="0.3">
      <c r="A847" s="42">
        <v>46087</v>
      </c>
      <c r="B847" s="43">
        <v>0.43817129629629631</v>
      </c>
      <c r="C847" t="s">
        <v>152</v>
      </c>
      <c r="D847" t="s">
        <v>36</v>
      </c>
      <c r="E847" t="s">
        <v>243</v>
      </c>
      <c r="F847">
        <v>-1500</v>
      </c>
      <c r="G847" t="s">
        <v>161</v>
      </c>
    </row>
    <row r="848" spans="1:7" x14ac:dyDescent="0.3">
      <c r="A848" s="42">
        <v>46087</v>
      </c>
      <c r="B848" s="43">
        <v>0.43817129629629631</v>
      </c>
      <c r="C848" t="s">
        <v>152</v>
      </c>
      <c r="D848" t="s">
        <v>36</v>
      </c>
      <c r="E848" t="s">
        <v>244</v>
      </c>
      <c r="F848">
        <v>-2000</v>
      </c>
      <c r="G848" t="s">
        <v>161</v>
      </c>
    </row>
    <row r="849" spans="1:7" x14ac:dyDescent="0.3">
      <c r="A849" s="42">
        <v>46087</v>
      </c>
      <c r="B849" s="43">
        <v>0.33827546296296301</v>
      </c>
      <c r="C849" t="s">
        <v>152</v>
      </c>
      <c r="D849" t="s">
        <v>44</v>
      </c>
      <c r="E849" t="s">
        <v>190</v>
      </c>
      <c r="F849">
        <v>-9800</v>
      </c>
      <c r="G849" t="s">
        <v>154</v>
      </c>
    </row>
    <row r="850" spans="1:7" x14ac:dyDescent="0.3">
      <c r="A850" s="42">
        <v>46086</v>
      </c>
      <c r="B850" s="43">
        <v>0.7940625</v>
      </c>
      <c r="C850" t="s">
        <v>176</v>
      </c>
      <c r="D850" t="s">
        <v>29</v>
      </c>
      <c r="E850" t="s">
        <v>493</v>
      </c>
      <c r="F850">
        <v>4000000</v>
      </c>
      <c r="G850" t="s">
        <v>61</v>
      </c>
    </row>
    <row r="851" spans="1:7" x14ac:dyDescent="0.3">
      <c r="A851" s="42">
        <v>46086</v>
      </c>
      <c r="B851" s="43">
        <v>0.78896990740740736</v>
      </c>
      <c r="C851" t="s">
        <v>176</v>
      </c>
      <c r="D851" t="s">
        <v>29</v>
      </c>
      <c r="E851" t="s">
        <v>494</v>
      </c>
      <c r="F851">
        <v>4000000</v>
      </c>
      <c r="G851" t="s">
        <v>61</v>
      </c>
    </row>
    <row r="852" spans="1:7" x14ac:dyDescent="0.3">
      <c r="A852" s="42">
        <v>46086</v>
      </c>
      <c r="B852" s="43">
        <v>0.43190972222222218</v>
      </c>
      <c r="C852" t="s">
        <v>152</v>
      </c>
      <c r="D852" t="s">
        <v>50</v>
      </c>
      <c r="E852" t="s">
        <v>184</v>
      </c>
      <c r="F852">
        <v>-1600</v>
      </c>
      <c r="G852" t="s">
        <v>186</v>
      </c>
    </row>
    <row r="853" spans="1:7" x14ac:dyDescent="0.3">
      <c r="A853" s="42">
        <v>46086</v>
      </c>
      <c r="B853" s="43">
        <v>0.43138888888888888</v>
      </c>
      <c r="C853" t="s">
        <v>152</v>
      </c>
      <c r="D853" t="s">
        <v>50</v>
      </c>
      <c r="E853" t="s">
        <v>184</v>
      </c>
      <c r="F853">
        <v>-1600</v>
      </c>
      <c r="G853" t="s">
        <v>186</v>
      </c>
    </row>
    <row r="854" spans="1:7" x14ac:dyDescent="0.3">
      <c r="A854" s="42">
        <v>46086</v>
      </c>
      <c r="B854" s="43">
        <v>0.32332175925925932</v>
      </c>
      <c r="C854" t="s">
        <v>152</v>
      </c>
      <c r="D854" t="s">
        <v>44</v>
      </c>
      <c r="E854" t="s">
        <v>235</v>
      </c>
      <c r="F854">
        <v>-5500</v>
      </c>
      <c r="G854" t="s">
        <v>236</v>
      </c>
    </row>
    <row r="855" spans="1:7" x14ac:dyDescent="0.3">
      <c r="A855" s="42">
        <v>46085</v>
      </c>
      <c r="B855" s="43">
        <v>0.83652777777777776</v>
      </c>
      <c r="C855" t="s">
        <v>152</v>
      </c>
      <c r="D855" t="s">
        <v>38</v>
      </c>
      <c r="E855" t="s">
        <v>495</v>
      </c>
      <c r="F855">
        <v>-38000</v>
      </c>
      <c r="G855" t="s">
        <v>186</v>
      </c>
    </row>
    <row r="856" spans="1:7" x14ac:dyDescent="0.3">
      <c r="A856" s="42">
        <v>46085</v>
      </c>
      <c r="B856" s="43">
        <v>0.55326388888888889</v>
      </c>
      <c r="C856" t="s">
        <v>152</v>
      </c>
      <c r="D856" t="s">
        <v>42</v>
      </c>
      <c r="E856" t="s">
        <v>496</v>
      </c>
      <c r="F856">
        <v>-18000</v>
      </c>
      <c r="G856" t="s">
        <v>186</v>
      </c>
    </row>
    <row r="857" spans="1:7" x14ac:dyDescent="0.3">
      <c r="A857" s="42">
        <v>46084</v>
      </c>
      <c r="B857" s="43">
        <v>0.86510416666666667</v>
      </c>
      <c r="C857" t="s">
        <v>152</v>
      </c>
      <c r="D857" t="s">
        <v>38</v>
      </c>
      <c r="E857" t="s">
        <v>497</v>
      </c>
      <c r="F857">
        <v>-100000</v>
      </c>
      <c r="G857" t="s">
        <v>60</v>
      </c>
    </row>
    <row r="858" spans="1:7" x14ac:dyDescent="0.3">
      <c r="A858" s="42">
        <v>46084</v>
      </c>
      <c r="B858" s="43">
        <v>0.81557870370370367</v>
      </c>
      <c r="C858" t="s">
        <v>155</v>
      </c>
      <c r="D858" t="s">
        <v>213</v>
      </c>
      <c r="E858" t="s">
        <v>214</v>
      </c>
      <c r="F858">
        <v>-73750</v>
      </c>
      <c r="G858" t="s">
        <v>61</v>
      </c>
    </row>
    <row r="859" spans="1:7" x14ac:dyDescent="0.3">
      <c r="A859" s="42">
        <v>46084</v>
      </c>
      <c r="B859" s="43">
        <v>0</v>
      </c>
      <c r="C859" t="s">
        <v>152</v>
      </c>
      <c r="D859" t="s">
        <v>37</v>
      </c>
      <c r="E859" t="s">
        <v>498</v>
      </c>
      <c r="F859">
        <v>18500</v>
      </c>
      <c r="G859" t="s">
        <v>266</v>
      </c>
    </row>
    <row r="860" spans="1:7" x14ac:dyDescent="0.3">
      <c r="A860" s="42">
        <v>46083</v>
      </c>
      <c r="B860" s="43">
        <v>0.55770833333333336</v>
      </c>
      <c r="C860" t="s">
        <v>155</v>
      </c>
      <c r="D860" t="s">
        <v>155</v>
      </c>
      <c r="E860" t="s">
        <v>381</v>
      </c>
      <c r="F860">
        <v>50000</v>
      </c>
      <c r="G860" t="s">
        <v>158</v>
      </c>
    </row>
    <row r="861" spans="1:7" x14ac:dyDescent="0.3">
      <c r="A861" s="42">
        <v>46083</v>
      </c>
      <c r="B861" s="43">
        <v>0.48983796296296289</v>
      </c>
      <c r="C861" t="s">
        <v>155</v>
      </c>
      <c r="D861" t="s">
        <v>163</v>
      </c>
      <c r="E861" t="s">
        <v>223</v>
      </c>
      <c r="F861">
        <v>24</v>
      </c>
      <c r="G861" t="s">
        <v>68</v>
      </c>
    </row>
    <row r="862" spans="1:7" x14ac:dyDescent="0.3">
      <c r="A862" s="42">
        <v>46083</v>
      </c>
      <c r="B862" s="43">
        <v>0.48983796296296289</v>
      </c>
      <c r="C862" t="s">
        <v>155</v>
      </c>
      <c r="D862" t="s">
        <v>163</v>
      </c>
      <c r="E862" t="s">
        <v>68</v>
      </c>
      <c r="F862">
        <v>-24</v>
      </c>
      <c r="G862" t="s">
        <v>67</v>
      </c>
    </row>
    <row r="863" spans="1:7" x14ac:dyDescent="0.3">
      <c r="A863" s="42">
        <v>46083</v>
      </c>
      <c r="B863" s="43">
        <v>0.41487268518518522</v>
      </c>
      <c r="C863" t="s">
        <v>152</v>
      </c>
      <c r="D863" t="s">
        <v>36</v>
      </c>
      <c r="E863" t="s">
        <v>274</v>
      </c>
      <c r="F863">
        <v>-250</v>
      </c>
      <c r="G863" t="s">
        <v>161</v>
      </c>
    </row>
    <row r="864" spans="1:7" x14ac:dyDescent="0.3">
      <c r="A864" s="42">
        <v>46083</v>
      </c>
      <c r="B864" s="43">
        <v>0.41487268518518522</v>
      </c>
      <c r="C864" t="s">
        <v>152</v>
      </c>
      <c r="D864" t="s">
        <v>36</v>
      </c>
      <c r="E864" t="s">
        <v>243</v>
      </c>
      <c r="F864">
        <v>-1500</v>
      </c>
      <c r="G864" t="s">
        <v>161</v>
      </c>
    </row>
    <row r="865" spans="1:7" x14ac:dyDescent="0.3">
      <c r="A865" s="42">
        <v>46082</v>
      </c>
      <c r="B865" s="43">
        <v>0.87915509259259261</v>
      </c>
      <c r="C865" t="s">
        <v>152</v>
      </c>
      <c r="D865" t="s">
        <v>49</v>
      </c>
      <c r="E865" t="s">
        <v>499</v>
      </c>
      <c r="F865">
        <v>-700</v>
      </c>
      <c r="G865" t="s">
        <v>266</v>
      </c>
    </row>
    <row r="866" spans="1:7" x14ac:dyDescent="0.3">
      <c r="A866" s="42">
        <v>46082</v>
      </c>
      <c r="B866" s="43">
        <v>0.84538194444444448</v>
      </c>
      <c r="C866" t="s">
        <v>155</v>
      </c>
      <c r="D866" t="s">
        <v>155</v>
      </c>
      <c r="E866" t="s">
        <v>210</v>
      </c>
      <c r="F866">
        <v>213000</v>
      </c>
      <c r="G866" t="s">
        <v>60</v>
      </c>
    </row>
    <row r="867" spans="1:7" x14ac:dyDescent="0.3">
      <c r="A867" s="42">
        <v>46082</v>
      </c>
      <c r="B867" s="43">
        <v>0.54517361111111107</v>
      </c>
      <c r="C867" t="s">
        <v>152</v>
      </c>
      <c r="D867" t="s">
        <v>36</v>
      </c>
      <c r="E867" t="s">
        <v>274</v>
      </c>
      <c r="F867">
        <v>-1750</v>
      </c>
      <c r="G867" t="s">
        <v>161</v>
      </c>
    </row>
    <row r="868" spans="1:7" x14ac:dyDescent="0.3">
      <c r="A868" s="42">
        <v>46081</v>
      </c>
      <c r="B868" s="43">
        <v>0.65467592592592594</v>
      </c>
      <c r="C868" t="s">
        <v>152</v>
      </c>
      <c r="D868" t="s">
        <v>49</v>
      </c>
      <c r="E868" t="s">
        <v>500</v>
      </c>
      <c r="F868">
        <v>-23100</v>
      </c>
      <c r="G868" t="s">
        <v>266</v>
      </c>
    </row>
    <row r="869" spans="1:7" x14ac:dyDescent="0.3">
      <c r="A869" s="42">
        <v>46081</v>
      </c>
      <c r="B869" s="43">
        <v>0.50804398148148144</v>
      </c>
      <c r="C869" t="s">
        <v>152</v>
      </c>
      <c r="D869" t="s">
        <v>36</v>
      </c>
      <c r="E869" t="s">
        <v>243</v>
      </c>
      <c r="F869">
        <v>-1500</v>
      </c>
      <c r="G869" t="s">
        <v>161</v>
      </c>
    </row>
    <row r="870" spans="1:7" x14ac:dyDescent="0.3">
      <c r="A870" s="42">
        <v>46081</v>
      </c>
      <c r="B870" s="43">
        <v>0.5080324074074074</v>
      </c>
      <c r="C870" t="s">
        <v>152</v>
      </c>
      <c r="D870" t="s">
        <v>36</v>
      </c>
      <c r="E870" t="s">
        <v>365</v>
      </c>
      <c r="F870">
        <v>-5500</v>
      </c>
      <c r="G870" t="s">
        <v>161</v>
      </c>
    </row>
    <row r="871" spans="1:7" x14ac:dyDescent="0.3">
      <c r="A871" s="42">
        <v>46081</v>
      </c>
      <c r="B871" s="43">
        <v>0.19417824074074069</v>
      </c>
      <c r="C871" t="s">
        <v>176</v>
      </c>
      <c r="D871" t="s">
        <v>28</v>
      </c>
      <c r="E871" t="s">
        <v>240</v>
      </c>
      <c r="F871">
        <v>24</v>
      </c>
      <c r="G871" t="s">
        <v>67</v>
      </c>
    </row>
    <row r="872" spans="1:7" x14ac:dyDescent="0.3">
      <c r="A872" s="42">
        <v>46081</v>
      </c>
      <c r="B872" s="43">
        <v>0.18497685185185189</v>
      </c>
      <c r="C872" t="s">
        <v>176</v>
      </c>
      <c r="D872" t="s">
        <v>28</v>
      </c>
      <c r="E872" t="s">
        <v>240</v>
      </c>
      <c r="F872">
        <v>480</v>
      </c>
      <c r="G872" t="s">
        <v>67</v>
      </c>
    </row>
    <row r="873" spans="1:7" x14ac:dyDescent="0.3">
      <c r="A873" s="42">
        <v>46081</v>
      </c>
      <c r="B873" s="43">
        <v>0.17815972222222221</v>
      </c>
      <c r="C873" t="s">
        <v>176</v>
      </c>
      <c r="D873" t="s">
        <v>28</v>
      </c>
      <c r="E873" t="s">
        <v>241</v>
      </c>
      <c r="F873">
        <v>0</v>
      </c>
      <c r="G873" t="s">
        <v>63</v>
      </c>
    </row>
    <row r="874" spans="1:7" x14ac:dyDescent="0.3">
      <c r="A874" s="42">
        <v>46081</v>
      </c>
      <c r="B874" s="43">
        <v>0.10221064814814811</v>
      </c>
      <c r="C874" t="s">
        <v>155</v>
      </c>
      <c r="D874" t="s">
        <v>217</v>
      </c>
      <c r="E874" t="s">
        <v>242</v>
      </c>
      <c r="F874">
        <v>125</v>
      </c>
      <c r="G874" t="s">
        <v>68</v>
      </c>
    </row>
    <row r="875" spans="1:7" x14ac:dyDescent="0.3">
      <c r="A875" s="42">
        <v>46080</v>
      </c>
      <c r="B875" s="43">
        <v>0.95690972222222226</v>
      </c>
      <c r="C875" t="s">
        <v>152</v>
      </c>
      <c r="D875" t="s">
        <v>44</v>
      </c>
      <c r="E875" t="s">
        <v>235</v>
      </c>
      <c r="F875">
        <v>-48000</v>
      </c>
      <c r="G875" t="s">
        <v>236</v>
      </c>
    </row>
    <row r="876" spans="1:7" x14ac:dyDescent="0.3">
      <c r="A876" s="42">
        <v>46080</v>
      </c>
      <c r="B876" s="43">
        <v>0.88804398148148145</v>
      </c>
      <c r="C876" t="s">
        <v>152</v>
      </c>
      <c r="D876" t="s">
        <v>40</v>
      </c>
      <c r="E876" t="s">
        <v>409</v>
      </c>
      <c r="F876">
        <v>-6500</v>
      </c>
      <c r="G876" t="s">
        <v>266</v>
      </c>
    </row>
    <row r="877" spans="1:7" x14ac:dyDescent="0.3">
      <c r="A877" s="42">
        <v>46080</v>
      </c>
      <c r="B877" s="43">
        <v>0.66762731481481485</v>
      </c>
      <c r="C877" t="s">
        <v>152</v>
      </c>
      <c r="D877" t="s">
        <v>50</v>
      </c>
      <c r="E877" t="s">
        <v>184</v>
      </c>
      <c r="F877">
        <v>-1600</v>
      </c>
      <c r="G877" t="s">
        <v>266</v>
      </c>
    </row>
    <row r="878" spans="1:7" x14ac:dyDescent="0.3">
      <c r="A878" s="42">
        <v>46080</v>
      </c>
      <c r="B878" s="43">
        <v>0.46677083333333341</v>
      </c>
      <c r="C878" t="s">
        <v>152</v>
      </c>
      <c r="D878" t="s">
        <v>46</v>
      </c>
      <c r="E878" t="s">
        <v>501</v>
      </c>
      <c r="F878">
        <v>-14915</v>
      </c>
      <c r="G878" t="s">
        <v>199</v>
      </c>
    </row>
    <row r="879" spans="1:7" x14ac:dyDescent="0.3">
      <c r="A879" s="42">
        <v>46080</v>
      </c>
      <c r="B879" s="43">
        <v>0.46677083333333341</v>
      </c>
      <c r="C879" t="s">
        <v>152</v>
      </c>
      <c r="D879" t="s">
        <v>46</v>
      </c>
      <c r="E879" t="s">
        <v>501</v>
      </c>
      <c r="F879">
        <v>-104985</v>
      </c>
      <c r="G879" t="s">
        <v>182</v>
      </c>
    </row>
    <row r="880" spans="1:7" x14ac:dyDescent="0.3">
      <c r="A880" s="42">
        <v>46080</v>
      </c>
      <c r="B880" s="43">
        <v>0.46228009259259262</v>
      </c>
      <c r="C880" t="s">
        <v>152</v>
      </c>
      <c r="D880" t="s">
        <v>46</v>
      </c>
      <c r="E880" t="s">
        <v>501</v>
      </c>
      <c r="F880">
        <v>14915</v>
      </c>
      <c r="G880" t="s">
        <v>199</v>
      </c>
    </row>
    <row r="881" spans="1:7" x14ac:dyDescent="0.3">
      <c r="A881" s="42">
        <v>46080</v>
      </c>
      <c r="B881" s="43">
        <v>0.46228009259259262</v>
      </c>
      <c r="C881" t="s">
        <v>152</v>
      </c>
      <c r="D881" t="s">
        <v>46</v>
      </c>
      <c r="E881" t="s">
        <v>501</v>
      </c>
      <c r="F881">
        <v>107985</v>
      </c>
      <c r="G881" t="s">
        <v>182</v>
      </c>
    </row>
    <row r="882" spans="1:7" x14ac:dyDescent="0.3">
      <c r="A882" s="42">
        <v>46080</v>
      </c>
      <c r="B882" s="43">
        <v>0.46101851851851849</v>
      </c>
      <c r="C882" t="s">
        <v>152</v>
      </c>
      <c r="D882" t="s">
        <v>46</v>
      </c>
      <c r="E882" t="s">
        <v>501</v>
      </c>
      <c r="F882">
        <v>-14915</v>
      </c>
      <c r="G882" t="s">
        <v>199</v>
      </c>
    </row>
    <row r="883" spans="1:7" x14ac:dyDescent="0.3">
      <c r="A883" s="42">
        <v>46080</v>
      </c>
      <c r="B883" s="43">
        <v>0.46101851851851849</v>
      </c>
      <c r="C883" t="s">
        <v>152</v>
      </c>
      <c r="D883" t="s">
        <v>46</v>
      </c>
      <c r="E883" t="s">
        <v>501</v>
      </c>
      <c r="F883">
        <v>-107985</v>
      </c>
      <c r="G883" t="s">
        <v>182</v>
      </c>
    </row>
    <row r="884" spans="1:7" x14ac:dyDescent="0.3">
      <c r="A884" s="42">
        <v>46080</v>
      </c>
      <c r="B884" s="43">
        <v>0.4208912037037037</v>
      </c>
      <c r="C884" t="s">
        <v>152</v>
      </c>
      <c r="D884" t="s">
        <v>37</v>
      </c>
      <c r="E884" t="s">
        <v>498</v>
      </c>
      <c r="F884">
        <v>-18500</v>
      </c>
      <c r="G884" t="s">
        <v>266</v>
      </c>
    </row>
    <row r="885" spans="1:7" x14ac:dyDescent="0.3">
      <c r="A885" s="42">
        <v>46079</v>
      </c>
      <c r="B885" s="43">
        <v>0.83880787037037041</v>
      </c>
      <c r="C885" t="s">
        <v>152</v>
      </c>
      <c r="D885" t="s">
        <v>50</v>
      </c>
      <c r="E885" t="s">
        <v>502</v>
      </c>
      <c r="F885">
        <v>-33300</v>
      </c>
      <c r="G885" t="s">
        <v>182</v>
      </c>
    </row>
    <row r="886" spans="1:7" x14ac:dyDescent="0.3">
      <c r="A886" s="42">
        <v>46079</v>
      </c>
      <c r="B886" s="43">
        <v>0.65840277777777778</v>
      </c>
      <c r="C886" t="s">
        <v>152</v>
      </c>
      <c r="D886" t="s">
        <v>50</v>
      </c>
      <c r="E886" t="s">
        <v>453</v>
      </c>
      <c r="F886">
        <v>-4500</v>
      </c>
      <c r="G886" t="s">
        <v>266</v>
      </c>
    </row>
    <row r="887" spans="1:7" x14ac:dyDescent="0.3">
      <c r="A887" s="42">
        <v>46079</v>
      </c>
      <c r="B887" s="43">
        <v>0.53923611111111114</v>
      </c>
      <c r="C887" t="s">
        <v>152</v>
      </c>
      <c r="D887" t="s">
        <v>44</v>
      </c>
      <c r="E887" t="s">
        <v>503</v>
      </c>
      <c r="F887">
        <v>-1026000</v>
      </c>
      <c r="G887" t="s">
        <v>504</v>
      </c>
    </row>
    <row r="888" spans="1:7" x14ac:dyDescent="0.3">
      <c r="A888" s="42">
        <v>46079</v>
      </c>
      <c r="B888" s="43">
        <v>0.53833333333333333</v>
      </c>
      <c r="C888" t="s">
        <v>152</v>
      </c>
      <c r="D888" t="s">
        <v>42</v>
      </c>
      <c r="E888" t="s">
        <v>505</v>
      </c>
      <c r="F888">
        <v>-11000</v>
      </c>
      <c r="G888" t="s">
        <v>266</v>
      </c>
    </row>
    <row r="889" spans="1:7" x14ac:dyDescent="0.3">
      <c r="A889" s="42">
        <v>46079</v>
      </c>
      <c r="B889" s="43">
        <v>0.4281712962962963</v>
      </c>
      <c r="C889" t="s">
        <v>152</v>
      </c>
      <c r="D889" t="s">
        <v>36</v>
      </c>
      <c r="E889" t="s">
        <v>243</v>
      </c>
      <c r="F889">
        <v>-1500</v>
      </c>
      <c r="G889" t="s">
        <v>161</v>
      </c>
    </row>
    <row r="890" spans="1:7" x14ac:dyDescent="0.3">
      <c r="A890" s="42">
        <v>46079</v>
      </c>
      <c r="B890" s="43">
        <v>0.4281712962962963</v>
      </c>
      <c r="C890" t="s">
        <v>152</v>
      </c>
      <c r="D890" t="s">
        <v>36</v>
      </c>
      <c r="E890" t="s">
        <v>244</v>
      </c>
      <c r="F890">
        <v>-2000</v>
      </c>
      <c r="G890" t="s">
        <v>161</v>
      </c>
    </row>
    <row r="891" spans="1:7" x14ac:dyDescent="0.3">
      <c r="A891" s="42">
        <v>46079</v>
      </c>
      <c r="B891" s="43">
        <v>0.36114583333333328</v>
      </c>
      <c r="C891" t="s">
        <v>152</v>
      </c>
      <c r="D891" t="s">
        <v>50</v>
      </c>
      <c r="E891" t="s">
        <v>184</v>
      </c>
      <c r="F891">
        <v>-3200</v>
      </c>
      <c r="G891" t="s">
        <v>266</v>
      </c>
    </row>
    <row r="892" spans="1:7" x14ac:dyDescent="0.3">
      <c r="A892" s="42">
        <v>46078</v>
      </c>
      <c r="B892" s="43">
        <v>0.83831018518518519</v>
      </c>
      <c r="C892" t="s">
        <v>152</v>
      </c>
      <c r="D892" t="s">
        <v>37</v>
      </c>
      <c r="E892" t="s">
        <v>506</v>
      </c>
      <c r="F892">
        <v>-20000</v>
      </c>
      <c r="G892" t="s">
        <v>61</v>
      </c>
    </row>
    <row r="893" spans="1:7" x14ac:dyDescent="0.3">
      <c r="A893" s="42">
        <v>46078</v>
      </c>
      <c r="B893" s="43">
        <v>0.80710648148148145</v>
      </c>
      <c r="C893" t="s">
        <v>152</v>
      </c>
      <c r="D893" t="s">
        <v>37</v>
      </c>
      <c r="E893" t="s">
        <v>507</v>
      </c>
      <c r="F893">
        <v>-153178</v>
      </c>
      <c r="G893" t="s">
        <v>60</v>
      </c>
    </row>
    <row r="894" spans="1:7" x14ac:dyDescent="0.3">
      <c r="A894" s="42">
        <v>46078</v>
      </c>
      <c r="B894" s="43">
        <v>0.80609953703703707</v>
      </c>
      <c r="C894" t="s">
        <v>152</v>
      </c>
      <c r="D894" t="s">
        <v>40</v>
      </c>
      <c r="E894" t="s">
        <v>508</v>
      </c>
      <c r="F894">
        <v>-258304</v>
      </c>
      <c r="G894" t="s">
        <v>61</v>
      </c>
    </row>
    <row r="895" spans="1:7" x14ac:dyDescent="0.3">
      <c r="A895" s="42">
        <v>46078</v>
      </c>
      <c r="B895" s="43">
        <v>0.52008101851851851</v>
      </c>
      <c r="C895" t="s">
        <v>152</v>
      </c>
      <c r="D895" t="s">
        <v>42</v>
      </c>
      <c r="E895" t="s">
        <v>307</v>
      </c>
      <c r="F895">
        <v>-15000</v>
      </c>
      <c r="G895" t="s">
        <v>266</v>
      </c>
    </row>
    <row r="896" spans="1:7" x14ac:dyDescent="0.3">
      <c r="A896" s="42">
        <v>46078</v>
      </c>
      <c r="B896" s="43">
        <v>0.43928240740740743</v>
      </c>
      <c r="C896" t="s">
        <v>155</v>
      </c>
      <c r="D896" t="s">
        <v>155</v>
      </c>
      <c r="E896" t="s">
        <v>166</v>
      </c>
      <c r="F896">
        <v>-12100</v>
      </c>
      <c r="G896" t="s">
        <v>61</v>
      </c>
    </row>
    <row r="897" spans="1:7" x14ac:dyDescent="0.3">
      <c r="A897" s="42">
        <v>46078</v>
      </c>
      <c r="B897" s="43">
        <v>0.43927083333333328</v>
      </c>
      <c r="C897" t="s">
        <v>155</v>
      </c>
      <c r="D897" t="s">
        <v>163</v>
      </c>
      <c r="E897" t="s">
        <v>164</v>
      </c>
      <c r="F897">
        <v>12100</v>
      </c>
      <c r="G897" t="s">
        <v>158</v>
      </c>
    </row>
    <row r="898" spans="1:7" x14ac:dyDescent="0.3">
      <c r="A898" s="42">
        <v>46078</v>
      </c>
      <c r="B898" s="43">
        <v>0.43927083333333328</v>
      </c>
      <c r="C898" t="s">
        <v>152</v>
      </c>
      <c r="D898" t="s">
        <v>37</v>
      </c>
      <c r="E898" t="s">
        <v>165</v>
      </c>
      <c r="F898">
        <v>-17100</v>
      </c>
      <c r="G898" t="s">
        <v>158</v>
      </c>
    </row>
    <row r="899" spans="1:7" x14ac:dyDescent="0.3">
      <c r="A899" s="42">
        <v>46078</v>
      </c>
      <c r="B899" s="43">
        <v>0.41674768518518518</v>
      </c>
      <c r="C899" t="s">
        <v>152</v>
      </c>
      <c r="D899" t="s">
        <v>36</v>
      </c>
      <c r="E899" t="s">
        <v>232</v>
      </c>
      <c r="F899">
        <v>-1550</v>
      </c>
      <c r="G899" t="s">
        <v>161</v>
      </c>
    </row>
    <row r="900" spans="1:7" x14ac:dyDescent="0.3">
      <c r="A900" s="42">
        <v>46078</v>
      </c>
      <c r="B900" s="43">
        <v>7.9155092592592596E-2</v>
      </c>
      <c r="C900" t="s">
        <v>176</v>
      </c>
      <c r="D900" t="s">
        <v>29</v>
      </c>
      <c r="E900" t="s">
        <v>509</v>
      </c>
      <c r="F900">
        <v>500000</v>
      </c>
      <c r="G900" t="s">
        <v>64</v>
      </c>
    </row>
    <row r="901" spans="1:7" x14ac:dyDescent="0.3">
      <c r="A901" s="42">
        <v>46078</v>
      </c>
      <c r="B901" s="43">
        <v>7.1701388888888884E-2</v>
      </c>
      <c r="C901" t="s">
        <v>176</v>
      </c>
      <c r="D901" t="s">
        <v>29</v>
      </c>
      <c r="E901" t="s">
        <v>249</v>
      </c>
      <c r="F901">
        <v>100000</v>
      </c>
      <c r="G901" t="s">
        <v>64</v>
      </c>
    </row>
    <row r="902" spans="1:7" x14ac:dyDescent="0.3">
      <c r="A902" s="42">
        <v>46077</v>
      </c>
      <c r="B902" s="43">
        <v>0.81009259259259259</v>
      </c>
      <c r="C902" t="s">
        <v>152</v>
      </c>
      <c r="D902" t="s">
        <v>38</v>
      </c>
      <c r="E902" t="s">
        <v>441</v>
      </c>
      <c r="F902">
        <v>-2700</v>
      </c>
      <c r="G902" t="s">
        <v>266</v>
      </c>
    </row>
    <row r="903" spans="1:7" x14ac:dyDescent="0.3">
      <c r="A903" s="42">
        <v>46077</v>
      </c>
      <c r="B903" s="43">
        <v>0.80846064814814811</v>
      </c>
      <c r="C903" t="s">
        <v>155</v>
      </c>
      <c r="D903" t="s">
        <v>155</v>
      </c>
      <c r="E903" t="s">
        <v>510</v>
      </c>
      <c r="F903">
        <v>100000</v>
      </c>
      <c r="G903" t="s">
        <v>61</v>
      </c>
    </row>
    <row r="904" spans="1:7" x14ac:dyDescent="0.3">
      <c r="A904" s="42">
        <v>46077</v>
      </c>
      <c r="B904" s="43">
        <v>0.47488425925925931</v>
      </c>
      <c r="C904" t="s">
        <v>155</v>
      </c>
      <c r="D904" t="s">
        <v>163</v>
      </c>
      <c r="E904" t="s">
        <v>223</v>
      </c>
      <c r="F904">
        <v>370</v>
      </c>
      <c r="G904" t="s">
        <v>68</v>
      </c>
    </row>
    <row r="905" spans="1:7" x14ac:dyDescent="0.3">
      <c r="A905" s="42">
        <v>46077</v>
      </c>
      <c r="B905" s="43">
        <v>0.47488425925925931</v>
      </c>
      <c r="C905" t="s">
        <v>155</v>
      </c>
      <c r="D905" t="s">
        <v>163</v>
      </c>
      <c r="E905" t="s">
        <v>68</v>
      </c>
      <c r="F905">
        <v>-370</v>
      </c>
      <c r="G905" t="s">
        <v>67</v>
      </c>
    </row>
    <row r="906" spans="1:7" x14ac:dyDescent="0.3">
      <c r="A906" s="42">
        <v>46077</v>
      </c>
      <c r="B906" s="43">
        <v>0.41761574074074082</v>
      </c>
      <c r="C906" t="s">
        <v>152</v>
      </c>
      <c r="D906" t="s">
        <v>36</v>
      </c>
      <c r="E906" t="s">
        <v>232</v>
      </c>
      <c r="F906">
        <v>-50</v>
      </c>
      <c r="G906" t="s">
        <v>161</v>
      </c>
    </row>
    <row r="907" spans="1:7" x14ac:dyDescent="0.3">
      <c r="A907" s="42">
        <v>46077</v>
      </c>
      <c r="B907" s="43">
        <v>0.41760416666666672</v>
      </c>
      <c r="C907" t="s">
        <v>152</v>
      </c>
      <c r="D907" t="s">
        <v>36</v>
      </c>
      <c r="E907" t="s">
        <v>243</v>
      </c>
      <c r="F907">
        <v>-1500</v>
      </c>
      <c r="G907" t="s">
        <v>161</v>
      </c>
    </row>
    <row r="908" spans="1:7" x14ac:dyDescent="0.3">
      <c r="A908" s="42">
        <v>46076</v>
      </c>
      <c r="B908" s="43">
        <v>0.85916666666666663</v>
      </c>
      <c r="C908" t="s">
        <v>152</v>
      </c>
      <c r="D908" t="s">
        <v>37</v>
      </c>
      <c r="E908" t="s">
        <v>511</v>
      </c>
      <c r="F908">
        <v>-16900</v>
      </c>
      <c r="G908" t="s">
        <v>60</v>
      </c>
    </row>
    <row r="909" spans="1:7" x14ac:dyDescent="0.3">
      <c r="A909" s="42">
        <v>46076</v>
      </c>
      <c r="B909" s="43">
        <v>0.84954861111111113</v>
      </c>
      <c r="C909" t="s">
        <v>152</v>
      </c>
      <c r="D909" t="s">
        <v>37</v>
      </c>
      <c r="E909" t="s">
        <v>512</v>
      </c>
      <c r="F909">
        <v>-14261</v>
      </c>
      <c r="G909" t="s">
        <v>61</v>
      </c>
    </row>
    <row r="910" spans="1:7" x14ac:dyDescent="0.3">
      <c r="A910" s="42">
        <v>46076</v>
      </c>
      <c r="B910" s="43">
        <v>0.77113425925925927</v>
      </c>
      <c r="C910" t="s">
        <v>152</v>
      </c>
      <c r="D910" t="s">
        <v>37</v>
      </c>
      <c r="E910" t="s">
        <v>256</v>
      </c>
      <c r="F910">
        <v>-401951</v>
      </c>
      <c r="G910" t="s">
        <v>67</v>
      </c>
    </row>
    <row r="911" spans="1:7" x14ac:dyDescent="0.3">
      <c r="A911" s="42">
        <v>46076</v>
      </c>
      <c r="B911" s="43">
        <v>0.42744212962962957</v>
      </c>
      <c r="C911" t="s">
        <v>152</v>
      </c>
      <c r="D911" t="s">
        <v>36</v>
      </c>
      <c r="E911" t="s">
        <v>243</v>
      </c>
      <c r="F911">
        <v>-1500</v>
      </c>
      <c r="G911" t="s">
        <v>161</v>
      </c>
    </row>
    <row r="912" spans="1:7" x14ac:dyDescent="0.3">
      <c r="A912" s="42">
        <v>46076</v>
      </c>
      <c r="B912" s="43">
        <v>0.42744212962962957</v>
      </c>
      <c r="C912" t="s">
        <v>152</v>
      </c>
      <c r="D912" t="s">
        <v>36</v>
      </c>
      <c r="E912" t="s">
        <v>244</v>
      </c>
      <c r="F912">
        <v>-2000</v>
      </c>
      <c r="G912" t="s">
        <v>161</v>
      </c>
    </row>
    <row r="913" spans="1:7" x14ac:dyDescent="0.3">
      <c r="A913" s="42">
        <v>46076</v>
      </c>
      <c r="B913" s="43">
        <v>0.35806712962962961</v>
      </c>
      <c r="C913" t="s">
        <v>152</v>
      </c>
      <c r="D913" t="s">
        <v>37</v>
      </c>
      <c r="E913" t="s">
        <v>366</v>
      </c>
      <c r="F913">
        <v>-241630</v>
      </c>
      <c r="G913" t="s">
        <v>67</v>
      </c>
    </row>
    <row r="914" spans="1:7" x14ac:dyDescent="0.3">
      <c r="A914" s="42">
        <v>46076</v>
      </c>
      <c r="B914" s="43">
        <v>4.2372685185185187E-2</v>
      </c>
      <c r="C914" t="s">
        <v>152</v>
      </c>
      <c r="D914" t="s">
        <v>48</v>
      </c>
      <c r="E914" t="s">
        <v>251</v>
      </c>
      <c r="F914">
        <v>-300</v>
      </c>
      <c r="G914" t="s">
        <v>154</v>
      </c>
    </row>
    <row r="915" spans="1:7" x14ac:dyDescent="0.3">
      <c r="A915" s="42">
        <v>46075</v>
      </c>
      <c r="B915" s="43">
        <v>0.50608796296296299</v>
      </c>
      <c r="C915" t="s">
        <v>152</v>
      </c>
      <c r="D915" t="s">
        <v>49</v>
      </c>
      <c r="E915" t="s">
        <v>338</v>
      </c>
      <c r="F915">
        <v>-3710</v>
      </c>
      <c r="G915" t="s">
        <v>154</v>
      </c>
    </row>
    <row r="916" spans="1:7" x14ac:dyDescent="0.3">
      <c r="A916" s="42">
        <v>46074</v>
      </c>
      <c r="B916" s="43">
        <v>0.51620370370370372</v>
      </c>
      <c r="C916" t="s">
        <v>152</v>
      </c>
      <c r="D916" t="s">
        <v>49</v>
      </c>
      <c r="E916" t="s">
        <v>338</v>
      </c>
      <c r="F916">
        <v>-8680</v>
      </c>
      <c r="G916" t="s">
        <v>154</v>
      </c>
    </row>
    <row r="917" spans="1:7" x14ac:dyDescent="0.3">
      <c r="A917" s="42">
        <v>46074</v>
      </c>
      <c r="B917" s="43">
        <v>0.45436342592592588</v>
      </c>
      <c r="C917" t="s">
        <v>152</v>
      </c>
      <c r="D917" t="s">
        <v>44</v>
      </c>
      <c r="E917" t="s">
        <v>265</v>
      </c>
      <c r="F917">
        <v>-7890</v>
      </c>
      <c r="G917" t="s">
        <v>266</v>
      </c>
    </row>
    <row r="918" spans="1:7" x14ac:dyDescent="0.3">
      <c r="A918" s="42">
        <v>46073</v>
      </c>
      <c r="B918" s="43">
        <v>0.65680555555555553</v>
      </c>
      <c r="C918" t="s">
        <v>152</v>
      </c>
      <c r="D918" t="s">
        <v>47</v>
      </c>
      <c r="E918" t="s">
        <v>513</v>
      </c>
      <c r="F918">
        <v>-6000</v>
      </c>
      <c r="G918" t="s">
        <v>266</v>
      </c>
    </row>
    <row r="919" spans="1:7" x14ac:dyDescent="0.3">
      <c r="A919" s="42">
        <v>46073</v>
      </c>
      <c r="B919" s="43">
        <v>0.65563657407407405</v>
      </c>
      <c r="C919" t="s">
        <v>152</v>
      </c>
      <c r="D919" t="s">
        <v>47</v>
      </c>
      <c r="E919" t="s">
        <v>514</v>
      </c>
      <c r="F919">
        <v>149900</v>
      </c>
      <c r="G919" t="s">
        <v>266</v>
      </c>
    </row>
    <row r="920" spans="1:7" x14ac:dyDescent="0.3">
      <c r="A920" s="42">
        <v>46073</v>
      </c>
      <c r="B920" s="43">
        <v>0.65562500000000001</v>
      </c>
      <c r="C920" t="s">
        <v>152</v>
      </c>
      <c r="D920" t="s">
        <v>47</v>
      </c>
      <c r="E920" t="s">
        <v>514</v>
      </c>
      <c r="F920">
        <v>-61000</v>
      </c>
      <c r="G920" t="s">
        <v>266</v>
      </c>
    </row>
    <row r="921" spans="1:7" x14ac:dyDescent="0.3">
      <c r="A921" s="42">
        <v>46073</v>
      </c>
      <c r="B921" s="43">
        <v>0.65443287037037035</v>
      </c>
      <c r="C921" t="s">
        <v>152</v>
      </c>
      <c r="D921" t="s">
        <v>47</v>
      </c>
      <c r="E921" t="s">
        <v>514</v>
      </c>
      <c r="F921">
        <v>-149900</v>
      </c>
      <c r="G921" t="s">
        <v>266</v>
      </c>
    </row>
    <row r="922" spans="1:7" x14ac:dyDescent="0.3">
      <c r="A922" s="42">
        <v>46073</v>
      </c>
      <c r="B922" s="43">
        <v>0.58475694444444448</v>
      </c>
      <c r="C922" t="s">
        <v>152</v>
      </c>
      <c r="D922" t="s">
        <v>40</v>
      </c>
      <c r="E922" t="s">
        <v>298</v>
      </c>
      <c r="F922">
        <v>-21200</v>
      </c>
      <c r="G922" t="s">
        <v>186</v>
      </c>
    </row>
    <row r="923" spans="1:7" x14ac:dyDescent="0.3">
      <c r="A923" s="42">
        <v>46073</v>
      </c>
      <c r="B923" s="43">
        <v>0.5631828703703704</v>
      </c>
      <c r="C923" t="s">
        <v>152</v>
      </c>
      <c r="D923" t="s">
        <v>49</v>
      </c>
      <c r="E923" t="s">
        <v>515</v>
      </c>
      <c r="F923">
        <v>-1500</v>
      </c>
      <c r="G923" t="s">
        <v>186</v>
      </c>
    </row>
    <row r="924" spans="1:7" x14ac:dyDescent="0.3">
      <c r="A924" s="42">
        <v>46073</v>
      </c>
      <c r="B924" s="43">
        <v>0.53730324074074076</v>
      </c>
      <c r="C924" t="s">
        <v>152</v>
      </c>
      <c r="D924" t="s">
        <v>40</v>
      </c>
      <c r="E924" t="s">
        <v>394</v>
      </c>
      <c r="F924">
        <v>-21300</v>
      </c>
      <c r="G924" t="s">
        <v>186</v>
      </c>
    </row>
    <row r="925" spans="1:7" x14ac:dyDescent="0.3">
      <c r="A925" s="42">
        <v>46073</v>
      </c>
      <c r="B925" s="43">
        <v>0.43307870370370372</v>
      </c>
      <c r="C925" t="s">
        <v>152</v>
      </c>
      <c r="D925" t="s">
        <v>49</v>
      </c>
      <c r="E925" t="s">
        <v>338</v>
      </c>
      <c r="F925">
        <v>-7000</v>
      </c>
      <c r="G925" t="s">
        <v>154</v>
      </c>
    </row>
    <row r="926" spans="1:7" x14ac:dyDescent="0.3">
      <c r="A926" s="42">
        <v>46073</v>
      </c>
      <c r="B926" s="43">
        <v>0.33356481481481481</v>
      </c>
      <c r="C926" t="s">
        <v>176</v>
      </c>
      <c r="D926" t="s">
        <v>29</v>
      </c>
      <c r="E926" t="s">
        <v>29</v>
      </c>
      <c r="F926">
        <v>6930480</v>
      </c>
      <c r="G926" t="s">
        <v>60</v>
      </c>
    </row>
    <row r="927" spans="1:7" x14ac:dyDescent="0.3">
      <c r="A927" s="42">
        <v>46072</v>
      </c>
      <c r="B927" s="43">
        <v>0.81672453703703707</v>
      </c>
      <c r="C927" t="s">
        <v>155</v>
      </c>
      <c r="D927" t="s">
        <v>213</v>
      </c>
      <c r="E927" t="s">
        <v>516</v>
      </c>
      <c r="F927">
        <v>-2586383</v>
      </c>
      <c r="G927" t="s">
        <v>61</v>
      </c>
    </row>
    <row r="928" spans="1:7" x14ac:dyDescent="0.3">
      <c r="A928" s="42">
        <v>46072</v>
      </c>
      <c r="B928" s="43">
        <v>0.80449074074074078</v>
      </c>
      <c r="C928" t="s">
        <v>155</v>
      </c>
      <c r="D928" t="s">
        <v>155</v>
      </c>
      <c r="E928" t="s">
        <v>517</v>
      </c>
      <c r="F928">
        <v>9000</v>
      </c>
      <c r="G928" t="s">
        <v>61</v>
      </c>
    </row>
    <row r="929" spans="1:7" x14ac:dyDescent="0.3">
      <c r="A929" s="42">
        <v>46072</v>
      </c>
      <c r="B929" s="43">
        <v>0.8032407407407407</v>
      </c>
      <c r="C929" t="s">
        <v>152</v>
      </c>
      <c r="D929" t="s">
        <v>37</v>
      </c>
      <c r="E929" t="s">
        <v>498</v>
      </c>
      <c r="F929">
        <v>-14300</v>
      </c>
      <c r="G929" t="s">
        <v>180</v>
      </c>
    </row>
    <row r="930" spans="1:7" x14ac:dyDescent="0.3">
      <c r="A930" s="42">
        <v>46072</v>
      </c>
      <c r="B930" s="43">
        <v>0.3628587962962963</v>
      </c>
      <c r="C930" t="s">
        <v>152</v>
      </c>
      <c r="D930" t="s">
        <v>50</v>
      </c>
      <c r="E930" t="s">
        <v>184</v>
      </c>
      <c r="F930">
        <v>-1600</v>
      </c>
      <c r="G930" t="s">
        <v>180</v>
      </c>
    </row>
    <row r="931" spans="1:7" x14ac:dyDescent="0.3">
      <c r="A931" s="42">
        <v>46071</v>
      </c>
      <c r="B931" s="43">
        <v>0.50608796296296299</v>
      </c>
      <c r="C931" t="s">
        <v>152</v>
      </c>
      <c r="D931" t="s">
        <v>42</v>
      </c>
      <c r="E931" t="s">
        <v>518</v>
      </c>
      <c r="F931">
        <v>-43000</v>
      </c>
      <c r="G931" t="s">
        <v>154</v>
      </c>
    </row>
    <row r="932" spans="1:7" x14ac:dyDescent="0.3">
      <c r="A932" s="42">
        <v>46070</v>
      </c>
      <c r="B932" s="43">
        <v>0.60363425925925929</v>
      </c>
      <c r="C932" t="s">
        <v>152</v>
      </c>
      <c r="D932" t="s">
        <v>44</v>
      </c>
      <c r="E932" t="s">
        <v>190</v>
      </c>
      <c r="F932">
        <v>-5000</v>
      </c>
      <c r="G932" t="s">
        <v>154</v>
      </c>
    </row>
    <row r="933" spans="1:7" x14ac:dyDescent="0.3">
      <c r="A933" s="42">
        <v>46069</v>
      </c>
      <c r="B933" s="43">
        <v>0.74626157407407412</v>
      </c>
      <c r="C933" t="s">
        <v>152</v>
      </c>
      <c r="D933" t="s">
        <v>43</v>
      </c>
      <c r="E933" t="s">
        <v>519</v>
      </c>
      <c r="F933">
        <v>-36000</v>
      </c>
      <c r="G933" t="s">
        <v>180</v>
      </c>
    </row>
    <row r="934" spans="1:7" x14ac:dyDescent="0.3">
      <c r="A934" s="42">
        <v>46069</v>
      </c>
      <c r="B934" s="43">
        <v>0.69434027777777774</v>
      </c>
      <c r="C934" t="s">
        <v>152</v>
      </c>
      <c r="D934" t="s">
        <v>34</v>
      </c>
      <c r="E934" t="s">
        <v>520</v>
      </c>
      <c r="F934">
        <v>-20000</v>
      </c>
      <c r="G934" t="s">
        <v>180</v>
      </c>
    </row>
    <row r="935" spans="1:7" x14ac:dyDescent="0.3">
      <c r="A935" s="42">
        <v>46069</v>
      </c>
      <c r="B935" s="43">
        <v>4.2372685185185187E-2</v>
      </c>
      <c r="C935" t="s">
        <v>152</v>
      </c>
      <c r="D935" t="s">
        <v>43</v>
      </c>
      <c r="E935" t="s">
        <v>521</v>
      </c>
      <c r="F935">
        <v>-5000</v>
      </c>
      <c r="G935" t="s">
        <v>154</v>
      </c>
    </row>
    <row r="936" spans="1:7" x14ac:dyDescent="0.3">
      <c r="A936" s="42">
        <v>46068</v>
      </c>
      <c r="B936" s="43">
        <v>0.43688657407407411</v>
      </c>
      <c r="C936" t="s">
        <v>152</v>
      </c>
      <c r="D936" t="s">
        <v>36</v>
      </c>
      <c r="E936" t="s">
        <v>243</v>
      </c>
      <c r="F936">
        <v>-1500</v>
      </c>
      <c r="G936" t="s">
        <v>161</v>
      </c>
    </row>
    <row r="937" spans="1:7" x14ac:dyDescent="0.3">
      <c r="A937" s="42">
        <v>46068</v>
      </c>
      <c r="B937" s="43">
        <v>0.43688657407407411</v>
      </c>
      <c r="C937" t="s">
        <v>152</v>
      </c>
      <c r="D937" t="s">
        <v>36</v>
      </c>
      <c r="E937" t="s">
        <v>244</v>
      </c>
      <c r="F937">
        <v>-2000</v>
      </c>
      <c r="G937" t="s">
        <v>161</v>
      </c>
    </row>
    <row r="938" spans="1:7" x14ac:dyDescent="0.3">
      <c r="A938" s="42">
        <v>46067</v>
      </c>
      <c r="B938" s="43">
        <v>0.73662037037037043</v>
      </c>
      <c r="C938" t="s">
        <v>155</v>
      </c>
      <c r="D938" t="s">
        <v>155</v>
      </c>
      <c r="E938" t="s">
        <v>297</v>
      </c>
      <c r="F938">
        <v>5000</v>
      </c>
      <c r="G938" t="s">
        <v>158</v>
      </c>
    </row>
    <row r="939" spans="1:7" x14ac:dyDescent="0.3">
      <c r="A939" s="42">
        <v>46067</v>
      </c>
      <c r="B939" s="43">
        <v>0.54940972222222217</v>
      </c>
      <c r="C939" t="s">
        <v>155</v>
      </c>
      <c r="D939" t="s">
        <v>155</v>
      </c>
      <c r="E939" t="s">
        <v>277</v>
      </c>
      <c r="F939">
        <v>-300000</v>
      </c>
      <c r="G939" t="s">
        <v>61</v>
      </c>
    </row>
    <row r="940" spans="1:7" x14ac:dyDescent="0.3">
      <c r="A940" s="42">
        <v>46067</v>
      </c>
      <c r="B940" s="43">
        <v>0.42215277777777782</v>
      </c>
      <c r="C940" t="s">
        <v>152</v>
      </c>
      <c r="D940" t="s">
        <v>36</v>
      </c>
      <c r="E940" t="s">
        <v>243</v>
      </c>
      <c r="F940">
        <v>-1500</v>
      </c>
      <c r="G940" t="s">
        <v>161</v>
      </c>
    </row>
    <row r="941" spans="1:7" x14ac:dyDescent="0.3">
      <c r="A941" s="42">
        <v>46067</v>
      </c>
      <c r="B941" s="43">
        <v>0.42215277777777782</v>
      </c>
      <c r="C941" t="s">
        <v>152</v>
      </c>
      <c r="D941" t="s">
        <v>36</v>
      </c>
      <c r="E941" t="s">
        <v>365</v>
      </c>
      <c r="F941">
        <v>-5500</v>
      </c>
      <c r="G941" t="s">
        <v>161</v>
      </c>
    </row>
    <row r="942" spans="1:7" x14ac:dyDescent="0.3">
      <c r="A942" s="42">
        <v>46067</v>
      </c>
      <c r="B942" s="43">
        <v>0.28651620370370368</v>
      </c>
      <c r="C942" t="s">
        <v>152</v>
      </c>
      <c r="D942" t="s">
        <v>43</v>
      </c>
      <c r="E942" t="s">
        <v>384</v>
      </c>
      <c r="F942">
        <v>-36877</v>
      </c>
      <c r="G942" t="s">
        <v>266</v>
      </c>
    </row>
    <row r="943" spans="1:7" x14ac:dyDescent="0.3">
      <c r="A943" s="42">
        <v>46067</v>
      </c>
      <c r="B943" s="43">
        <v>6.4837962962962958E-2</v>
      </c>
      <c r="C943" t="s">
        <v>155</v>
      </c>
      <c r="D943" t="s">
        <v>156</v>
      </c>
      <c r="E943" t="s">
        <v>234</v>
      </c>
      <c r="F943">
        <v>2190</v>
      </c>
      <c r="G943" t="s">
        <v>61</v>
      </c>
    </row>
    <row r="944" spans="1:7" x14ac:dyDescent="0.3">
      <c r="A944" s="42">
        <v>46067</v>
      </c>
      <c r="B944" s="43">
        <v>6.4687499999999995E-2</v>
      </c>
      <c r="C944" t="s">
        <v>155</v>
      </c>
      <c r="D944" t="s">
        <v>156</v>
      </c>
      <c r="E944" t="s">
        <v>234</v>
      </c>
      <c r="F944">
        <v>3995</v>
      </c>
      <c r="G944" t="s">
        <v>60</v>
      </c>
    </row>
    <row r="945" spans="1:7" x14ac:dyDescent="0.3">
      <c r="A945" s="42">
        <v>46066</v>
      </c>
      <c r="B945" s="43">
        <v>0.85293981481481485</v>
      </c>
      <c r="C945" t="s">
        <v>152</v>
      </c>
      <c r="D945" t="s">
        <v>42</v>
      </c>
      <c r="E945" t="s">
        <v>522</v>
      </c>
      <c r="F945">
        <v>-48995</v>
      </c>
      <c r="G945" t="s">
        <v>154</v>
      </c>
    </row>
    <row r="946" spans="1:7" x14ac:dyDescent="0.3">
      <c r="A946" s="42">
        <v>46066</v>
      </c>
      <c r="B946" s="43">
        <v>0.81012731481481481</v>
      </c>
      <c r="C946" t="s">
        <v>155</v>
      </c>
      <c r="D946" t="s">
        <v>213</v>
      </c>
      <c r="E946" t="s">
        <v>326</v>
      </c>
      <c r="F946">
        <v>-628671</v>
      </c>
      <c r="G946" t="s">
        <v>61</v>
      </c>
    </row>
    <row r="947" spans="1:7" x14ac:dyDescent="0.3">
      <c r="A947" s="42">
        <v>46066</v>
      </c>
      <c r="B947" s="43">
        <v>0.80012731481481481</v>
      </c>
      <c r="C947" t="s">
        <v>152</v>
      </c>
      <c r="D947" t="s">
        <v>43</v>
      </c>
      <c r="E947" t="s">
        <v>523</v>
      </c>
      <c r="F947">
        <v>-19143</v>
      </c>
      <c r="G947" t="s">
        <v>154</v>
      </c>
    </row>
    <row r="948" spans="1:7" x14ac:dyDescent="0.3">
      <c r="A948" s="42">
        <v>46066</v>
      </c>
      <c r="B948" s="43">
        <v>0.3473148148148148</v>
      </c>
      <c r="C948" t="s">
        <v>152</v>
      </c>
      <c r="D948" t="s">
        <v>49</v>
      </c>
      <c r="E948" t="s">
        <v>524</v>
      </c>
      <c r="F948">
        <v>-20700</v>
      </c>
      <c r="G948" t="s">
        <v>154</v>
      </c>
    </row>
    <row r="949" spans="1:7" x14ac:dyDescent="0.3">
      <c r="A949" s="42">
        <v>46065</v>
      </c>
      <c r="B949" s="43">
        <v>0.85708333333333331</v>
      </c>
      <c r="C949" t="s">
        <v>152</v>
      </c>
      <c r="D949" t="s">
        <v>43</v>
      </c>
      <c r="E949" t="s">
        <v>525</v>
      </c>
      <c r="F949">
        <v>-19600</v>
      </c>
      <c r="G949" t="s">
        <v>236</v>
      </c>
    </row>
    <row r="950" spans="1:7" x14ac:dyDescent="0.3">
      <c r="A950" s="42">
        <v>46065</v>
      </c>
      <c r="B950" s="43">
        <v>0.58304398148148151</v>
      </c>
      <c r="C950" t="s">
        <v>152</v>
      </c>
      <c r="D950" t="s">
        <v>37</v>
      </c>
      <c r="E950" t="s">
        <v>261</v>
      </c>
      <c r="F950">
        <v>-3600</v>
      </c>
      <c r="G950" t="s">
        <v>186</v>
      </c>
    </row>
    <row r="951" spans="1:7" x14ac:dyDescent="0.3">
      <c r="A951" s="42">
        <v>46065</v>
      </c>
      <c r="B951" s="43">
        <v>0.44355324074074082</v>
      </c>
      <c r="C951" t="s">
        <v>152</v>
      </c>
      <c r="D951" t="s">
        <v>44</v>
      </c>
      <c r="E951" t="s">
        <v>159</v>
      </c>
      <c r="F951">
        <v>-8900</v>
      </c>
      <c r="G951" t="s">
        <v>154</v>
      </c>
    </row>
    <row r="952" spans="1:7" x14ac:dyDescent="0.3">
      <c r="A952" s="42">
        <v>46065</v>
      </c>
      <c r="B952" s="43">
        <v>0.42548611111111112</v>
      </c>
      <c r="C952" t="s">
        <v>152</v>
      </c>
      <c r="D952" t="s">
        <v>36</v>
      </c>
      <c r="E952" t="s">
        <v>244</v>
      </c>
      <c r="F952">
        <v>-3400</v>
      </c>
      <c r="G952" t="s">
        <v>161</v>
      </c>
    </row>
    <row r="953" spans="1:7" x14ac:dyDescent="0.3">
      <c r="A953" s="42">
        <v>46065</v>
      </c>
      <c r="B953" s="43">
        <v>0.36479166666666668</v>
      </c>
      <c r="C953" t="s">
        <v>152</v>
      </c>
      <c r="D953" t="s">
        <v>50</v>
      </c>
      <c r="E953" t="s">
        <v>184</v>
      </c>
      <c r="F953">
        <v>-3200</v>
      </c>
      <c r="G953" t="s">
        <v>180</v>
      </c>
    </row>
    <row r="954" spans="1:7" x14ac:dyDescent="0.3">
      <c r="A954" s="42">
        <v>46065</v>
      </c>
      <c r="B954" s="43">
        <v>0.36267361111111113</v>
      </c>
      <c r="C954" t="s">
        <v>152</v>
      </c>
      <c r="D954" t="s">
        <v>44</v>
      </c>
      <c r="E954" t="s">
        <v>190</v>
      </c>
      <c r="F954">
        <v>-11300</v>
      </c>
      <c r="G954" t="s">
        <v>154</v>
      </c>
    </row>
    <row r="955" spans="1:7" x14ac:dyDescent="0.3">
      <c r="A955" s="42">
        <v>46064</v>
      </c>
      <c r="B955" s="43">
        <v>0.55306712962962967</v>
      </c>
      <c r="C955" t="s">
        <v>176</v>
      </c>
      <c r="D955" t="s">
        <v>28</v>
      </c>
      <c r="E955" t="s">
        <v>178</v>
      </c>
      <c r="F955">
        <v>18900</v>
      </c>
      <c r="G955" t="s">
        <v>61</v>
      </c>
    </row>
    <row r="956" spans="1:7" x14ac:dyDescent="0.3">
      <c r="A956" s="42">
        <v>46063</v>
      </c>
      <c r="B956" s="43">
        <v>0.98178240740740741</v>
      </c>
      <c r="C956" t="s">
        <v>152</v>
      </c>
      <c r="D956" t="s">
        <v>44</v>
      </c>
      <c r="E956" t="s">
        <v>190</v>
      </c>
      <c r="F956">
        <v>-6930</v>
      </c>
      <c r="G956" t="s">
        <v>154</v>
      </c>
    </row>
    <row r="957" spans="1:7" x14ac:dyDescent="0.3">
      <c r="A957" s="42">
        <v>46063</v>
      </c>
      <c r="B957" s="43">
        <v>0.73783564814814817</v>
      </c>
      <c r="C957" t="s">
        <v>152</v>
      </c>
      <c r="D957" t="s">
        <v>42</v>
      </c>
      <c r="E957" t="s">
        <v>518</v>
      </c>
      <c r="F957">
        <v>-51500</v>
      </c>
      <c r="G957" t="s">
        <v>154</v>
      </c>
    </row>
    <row r="958" spans="1:7" x14ac:dyDescent="0.3">
      <c r="A958" s="42">
        <v>46063</v>
      </c>
      <c r="B958" s="43">
        <v>0.63577546296296295</v>
      </c>
      <c r="C958" t="s">
        <v>176</v>
      </c>
      <c r="D958" t="s">
        <v>32</v>
      </c>
      <c r="E958" t="s">
        <v>177</v>
      </c>
      <c r="F958">
        <v>300170</v>
      </c>
      <c r="G958" t="s">
        <v>61</v>
      </c>
    </row>
    <row r="959" spans="1:7" x14ac:dyDescent="0.3">
      <c r="A959" s="42">
        <v>46063</v>
      </c>
      <c r="B959" s="43">
        <v>0.59502314814814816</v>
      </c>
      <c r="C959" t="s">
        <v>152</v>
      </c>
      <c r="D959" t="s">
        <v>44</v>
      </c>
      <c r="E959" t="s">
        <v>179</v>
      </c>
      <c r="F959">
        <v>-34900</v>
      </c>
      <c r="G959" t="s">
        <v>180</v>
      </c>
    </row>
    <row r="960" spans="1:7" x14ac:dyDescent="0.3">
      <c r="A960" s="42">
        <v>46063</v>
      </c>
      <c r="B960" s="43">
        <v>0.41793981481481479</v>
      </c>
      <c r="C960" t="s">
        <v>152</v>
      </c>
      <c r="D960" t="s">
        <v>36</v>
      </c>
      <c r="E960" t="s">
        <v>274</v>
      </c>
      <c r="F960">
        <v>-250</v>
      </c>
      <c r="G960" t="s">
        <v>161</v>
      </c>
    </row>
    <row r="961" spans="1:7" x14ac:dyDescent="0.3">
      <c r="A961" s="42">
        <v>46063</v>
      </c>
      <c r="B961" s="43">
        <v>0.41793981481481479</v>
      </c>
      <c r="C961" t="s">
        <v>152</v>
      </c>
      <c r="D961" t="s">
        <v>36</v>
      </c>
      <c r="E961" t="s">
        <v>243</v>
      </c>
      <c r="F961">
        <v>-1500</v>
      </c>
      <c r="G961" t="s">
        <v>161</v>
      </c>
    </row>
    <row r="962" spans="1:7" x14ac:dyDescent="0.3">
      <c r="A962" s="42">
        <v>46063</v>
      </c>
      <c r="B962" s="43">
        <v>0.35203703703703698</v>
      </c>
      <c r="C962" t="s">
        <v>152</v>
      </c>
      <c r="D962" t="s">
        <v>50</v>
      </c>
      <c r="E962" t="s">
        <v>184</v>
      </c>
      <c r="F962">
        <v>-1600</v>
      </c>
      <c r="G962" t="s">
        <v>180</v>
      </c>
    </row>
    <row r="963" spans="1:7" x14ac:dyDescent="0.3">
      <c r="A963" s="42">
        <v>46063</v>
      </c>
      <c r="B963" s="43">
        <v>0.32321759259259258</v>
      </c>
      <c r="C963" t="s">
        <v>152</v>
      </c>
      <c r="D963" t="s">
        <v>37</v>
      </c>
      <c r="E963" t="s">
        <v>261</v>
      </c>
      <c r="F963">
        <v>-6000</v>
      </c>
      <c r="G963" t="s">
        <v>186</v>
      </c>
    </row>
    <row r="964" spans="1:7" x14ac:dyDescent="0.3">
      <c r="A964" s="42">
        <v>46063</v>
      </c>
      <c r="B964" s="43">
        <v>4.2372685185185187E-2</v>
      </c>
      <c r="C964" t="s">
        <v>152</v>
      </c>
      <c r="D964" t="s">
        <v>48</v>
      </c>
      <c r="E964" t="s">
        <v>308</v>
      </c>
      <c r="F964">
        <v>-12080</v>
      </c>
      <c r="G964" t="s">
        <v>154</v>
      </c>
    </row>
    <row r="965" spans="1:7" x14ac:dyDescent="0.3">
      <c r="A965" s="42">
        <v>46063</v>
      </c>
      <c r="B965" s="43">
        <v>0</v>
      </c>
      <c r="C965" t="s">
        <v>152</v>
      </c>
      <c r="D965" t="s">
        <v>43</v>
      </c>
      <c r="E965" t="s">
        <v>526</v>
      </c>
      <c r="F965">
        <v>17000</v>
      </c>
      <c r="G965" t="s">
        <v>180</v>
      </c>
    </row>
    <row r="966" spans="1:7" x14ac:dyDescent="0.3">
      <c r="A966" s="42">
        <v>46063</v>
      </c>
      <c r="B966" s="43">
        <v>0</v>
      </c>
      <c r="C966" t="s">
        <v>152</v>
      </c>
      <c r="D966" t="s">
        <v>43</v>
      </c>
      <c r="E966" t="s">
        <v>527</v>
      </c>
      <c r="F966">
        <v>500700</v>
      </c>
      <c r="G966" t="s">
        <v>266</v>
      </c>
    </row>
    <row r="967" spans="1:7" x14ac:dyDescent="0.3">
      <c r="A967" s="42">
        <v>46062</v>
      </c>
      <c r="B967" s="43">
        <v>0.93283564814814812</v>
      </c>
      <c r="C967" t="s">
        <v>155</v>
      </c>
      <c r="D967" t="s">
        <v>155</v>
      </c>
      <c r="E967" t="s">
        <v>277</v>
      </c>
      <c r="F967">
        <v>300000</v>
      </c>
      <c r="G967" t="s">
        <v>67</v>
      </c>
    </row>
    <row r="968" spans="1:7" x14ac:dyDescent="0.3">
      <c r="A968" s="42">
        <v>46062</v>
      </c>
      <c r="B968" s="43">
        <v>0.81709490740740742</v>
      </c>
      <c r="C968" t="s">
        <v>152</v>
      </c>
      <c r="D968" t="s">
        <v>40</v>
      </c>
      <c r="E968" t="s">
        <v>455</v>
      </c>
      <c r="F968">
        <v>-8000</v>
      </c>
      <c r="G968" t="s">
        <v>180</v>
      </c>
    </row>
    <row r="969" spans="1:7" x14ac:dyDescent="0.3">
      <c r="A969" s="42">
        <v>46062</v>
      </c>
      <c r="B969" s="43">
        <v>0.81055555555555558</v>
      </c>
      <c r="C969" t="s">
        <v>152</v>
      </c>
      <c r="D969" t="s">
        <v>43</v>
      </c>
      <c r="E969" t="s">
        <v>384</v>
      </c>
      <c r="F969">
        <v>-325583</v>
      </c>
      <c r="G969" t="s">
        <v>180</v>
      </c>
    </row>
    <row r="970" spans="1:7" x14ac:dyDescent="0.3">
      <c r="A970" s="42">
        <v>46062</v>
      </c>
      <c r="B970" s="43">
        <v>0.74974537037037037</v>
      </c>
      <c r="C970" t="s">
        <v>152</v>
      </c>
      <c r="D970" t="s">
        <v>39</v>
      </c>
      <c r="E970" t="s">
        <v>528</v>
      </c>
      <c r="F970">
        <v>-15900</v>
      </c>
      <c r="G970" t="s">
        <v>180</v>
      </c>
    </row>
    <row r="971" spans="1:7" x14ac:dyDescent="0.3">
      <c r="A971" s="42">
        <v>46062</v>
      </c>
      <c r="B971" s="43">
        <v>0.68366898148148147</v>
      </c>
      <c r="C971" t="s">
        <v>152</v>
      </c>
      <c r="D971" t="s">
        <v>44</v>
      </c>
      <c r="E971" t="s">
        <v>529</v>
      </c>
      <c r="F971">
        <v>-5190</v>
      </c>
      <c r="G971" t="s">
        <v>199</v>
      </c>
    </row>
    <row r="972" spans="1:7" x14ac:dyDescent="0.3">
      <c r="A972" s="42">
        <v>46062</v>
      </c>
      <c r="B972" s="43">
        <v>0.68366898148148147</v>
      </c>
      <c r="C972" t="s">
        <v>152</v>
      </c>
      <c r="D972" t="s">
        <v>44</v>
      </c>
      <c r="E972" t="s">
        <v>529</v>
      </c>
      <c r="F972">
        <v>-46710</v>
      </c>
      <c r="G972" t="s">
        <v>182</v>
      </c>
    </row>
    <row r="973" spans="1:7" x14ac:dyDescent="0.3">
      <c r="A973" s="42">
        <v>46062</v>
      </c>
      <c r="B973" s="43">
        <v>0.67395833333333333</v>
      </c>
      <c r="C973" t="s">
        <v>152</v>
      </c>
      <c r="D973" t="s">
        <v>38</v>
      </c>
      <c r="E973" t="s">
        <v>376</v>
      </c>
      <c r="F973">
        <v>-1153</v>
      </c>
      <c r="G973" t="s">
        <v>199</v>
      </c>
    </row>
    <row r="974" spans="1:7" x14ac:dyDescent="0.3">
      <c r="A974" s="42">
        <v>46062</v>
      </c>
      <c r="B974" s="43">
        <v>0.67395833333333333</v>
      </c>
      <c r="C974" t="s">
        <v>152</v>
      </c>
      <c r="D974" t="s">
        <v>38</v>
      </c>
      <c r="E974" t="s">
        <v>376</v>
      </c>
      <c r="F974">
        <v>-13747</v>
      </c>
      <c r="G974" t="s">
        <v>182</v>
      </c>
    </row>
    <row r="975" spans="1:7" x14ac:dyDescent="0.3">
      <c r="A975" s="42">
        <v>46062</v>
      </c>
      <c r="B975" s="43">
        <v>0.64749999999999996</v>
      </c>
      <c r="C975" t="s">
        <v>155</v>
      </c>
      <c r="D975" t="s">
        <v>163</v>
      </c>
      <c r="E975" t="s">
        <v>530</v>
      </c>
      <c r="F975">
        <v>-560440</v>
      </c>
      <c r="G975" t="s">
        <v>66</v>
      </c>
    </row>
    <row r="976" spans="1:7" x14ac:dyDescent="0.3">
      <c r="A976" s="42">
        <v>46062</v>
      </c>
      <c r="B976" s="43">
        <v>0.64749999999999996</v>
      </c>
      <c r="C976" t="s">
        <v>155</v>
      </c>
      <c r="D976" t="s">
        <v>163</v>
      </c>
      <c r="E976" t="s">
        <v>7</v>
      </c>
      <c r="F976">
        <v>560440</v>
      </c>
      <c r="G976" t="s">
        <v>61</v>
      </c>
    </row>
    <row r="977" spans="1:7" x14ac:dyDescent="0.3">
      <c r="A977" s="42">
        <v>46062</v>
      </c>
      <c r="B977" s="43">
        <v>0.5706134259259259</v>
      </c>
      <c r="C977" t="s">
        <v>152</v>
      </c>
      <c r="D977" t="s">
        <v>40</v>
      </c>
      <c r="E977" t="s">
        <v>531</v>
      </c>
      <c r="F977">
        <v>-42150</v>
      </c>
      <c r="G977" t="s">
        <v>180</v>
      </c>
    </row>
    <row r="978" spans="1:7" x14ac:dyDescent="0.3">
      <c r="A978" s="42">
        <v>46062</v>
      </c>
      <c r="B978" s="43">
        <v>0.53684027777777776</v>
      </c>
      <c r="C978" t="s">
        <v>152</v>
      </c>
      <c r="D978" t="s">
        <v>44</v>
      </c>
      <c r="E978" t="s">
        <v>532</v>
      </c>
      <c r="F978">
        <v>-30000</v>
      </c>
      <c r="G978" t="s">
        <v>154</v>
      </c>
    </row>
    <row r="979" spans="1:7" x14ac:dyDescent="0.3">
      <c r="A979" s="42">
        <v>46062</v>
      </c>
      <c r="B979" s="43">
        <v>4.2372685185185187E-2</v>
      </c>
      <c r="C979" t="s">
        <v>152</v>
      </c>
      <c r="D979" t="s">
        <v>48</v>
      </c>
      <c r="E979" t="s">
        <v>311</v>
      </c>
      <c r="F979">
        <v>-39930</v>
      </c>
      <c r="G979" t="s">
        <v>154</v>
      </c>
    </row>
    <row r="980" spans="1:7" x14ac:dyDescent="0.3">
      <c r="A980" s="42">
        <v>46062</v>
      </c>
      <c r="B980" s="43">
        <v>4.2372685185185187E-2</v>
      </c>
      <c r="C980" t="s">
        <v>152</v>
      </c>
      <c r="D980" t="s">
        <v>48</v>
      </c>
      <c r="E980" t="s">
        <v>311</v>
      </c>
      <c r="F980">
        <v>-32800</v>
      </c>
      <c r="G980" t="s">
        <v>154</v>
      </c>
    </row>
    <row r="981" spans="1:7" x14ac:dyDescent="0.3">
      <c r="A981" s="42">
        <v>46061</v>
      </c>
      <c r="B981" s="43">
        <v>0.9269560185185185</v>
      </c>
      <c r="C981" t="s">
        <v>152</v>
      </c>
      <c r="D981" t="s">
        <v>38</v>
      </c>
      <c r="E981" t="s">
        <v>441</v>
      </c>
      <c r="F981">
        <v>-2800</v>
      </c>
      <c r="G981" t="s">
        <v>186</v>
      </c>
    </row>
    <row r="982" spans="1:7" x14ac:dyDescent="0.3">
      <c r="A982" s="42">
        <v>46061</v>
      </c>
      <c r="B982" s="43">
        <v>0.92168981481481482</v>
      </c>
      <c r="C982" t="s">
        <v>152</v>
      </c>
      <c r="D982" t="s">
        <v>50</v>
      </c>
      <c r="E982" t="s">
        <v>325</v>
      </c>
      <c r="F982">
        <v>-93750</v>
      </c>
      <c r="G982" t="s">
        <v>182</v>
      </c>
    </row>
    <row r="983" spans="1:7" x14ac:dyDescent="0.3">
      <c r="A983" s="42">
        <v>46061</v>
      </c>
      <c r="B983" s="43">
        <v>0.5471759259259259</v>
      </c>
      <c r="C983" t="s">
        <v>152</v>
      </c>
      <c r="D983" t="s">
        <v>37</v>
      </c>
      <c r="E983" t="s">
        <v>477</v>
      </c>
      <c r="F983">
        <v>-220000</v>
      </c>
      <c r="G983" t="s">
        <v>61</v>
      </c>
    </row>
    <row r="984" spans="1:7" x14ac:dyDescent="0.3">
      <c r="A984" s="42">
        <v>46061</v>
      </c>
      <c r="B984" s="43">
        <v>0.49479166666666669</v>
      </c>
      <c r="C984" t="s">
        <v>152</v>
      </c>
      <c r="D984" t="s">
        <v>36</v>
      </c>
      <c r="E984" t="s">
        <v>274</v>
      </c>
      <c r="F984">
        <v>-1750</v>
      </c>
      <c r="G984" t="s">
        <v>161</v>
      </c>
    </row>
    <row r="985" spans="1:7" x14ac:dyDescent="0.3">
      <c r="A985" s="42">
        <v>46061</v>
      </c>
      <c r="B985" s="43">
        <v>0.48261574074074082</v>
      </c>
      <c r="C985" t="s">
        <v>152</v>
      </c>
      <c r="D985" t="s">
        <v>42</v>
      </c>
      <c r="E985" t="s">
        <v>183</v>
      </c>
      <c r="F985">
        <v>-10000</v>
      </c>
      <c r="G985" t="s">
        <v>154</v>
      </c>
    </row>
    <row r="986" spans="1:7" x14ac:dyDescent="0.3">
      <c r="A986" s="42">
        <v>46061</v>
      </c>
      <c r="B986" s="43">
        <v>0.45967592592592588</v>
      </c>
      <c r="C986" t="s">
        <v>152</v>
      </c>
      <c r="D986" t="s">
        <v>47</v>
      </c>
      <c r="E986" t="s">
        <v>514</v>
      </c>
      <c r="F986">
        <v>-50000</v>
      </c>
      <c r="G986" t="s">
        <v>186</v>
      </c>
    </row>
    <row r="987" spans="1:7" x14ac:dyDescent="0.3">
      <c r="A987" s="42">
        <v>46061</v>
      </c>
      <c r="B987" s="43">
        <v>0.45008101851851851</v>
      </c>
      <c r="C987" t="s">
        <v>152</v>
      </c>
      <c r="D987" t="s">
        <v>38</v>
      </c>
      <c r="E987" t="s">
        <v>318</v>
      </c>
      <c r="F987">
        <v>-31000</v>
      </c>
      <c r="G987" t="s">
        <v>186</v>
      </c>
    </row>
    <row r="988" spans="1:7" x14ac:dyDescent="0.3">
      <c r="A988" s="42">
        <v>46060</v>
      </c>
      <c r="B988" s="43">
        <v>0.8501967592592593</v>
      </c>
      <c r="C988" t="s">
        <v>155</v>
      </c>
      <c r="D988" t="s">
        <v>155</v>
      </c>
      <c r="E988" t="s">
        <v>166</v>
      </c>
      <c r="F988">
        <v>-250000</v>
      </c>
      <c r="G988" t="s">
        <v>61</v>
      </c>
    </row>
    <row r="989" spans="1:7" x14ac:dyDescent="0.3">
      <c r="A989" s="42">
        <v>46060</v>
      </c>
      <c r="B989" s="43">
        <v>0.82012731481481482</v>
      </c>
      <c r="C989" t="s">
        <v>152</v>
      </c>
      <c r="D989" t="s">
        <v>39</v>
      </c>
      <c r="E989" t="s">
        <v>391</v>
      </c>
      <c r="F989">
        <v>-22000</v>
      </c>
      <c r="G989" t="s">
        <v>182</v>
      </c>
    </row>
    <row r="990" spans="1:7" x14ac:dyDescent="0.3">
      <c r="A990" s="42">
        <v>46060</v>
      </c>
      <c r="B990" s="43">
        <v>0.41869212962962971</v>
      </c>
      <c r="C990" t="s">
        <v>152</v>
      </c>
      <c r="D990" t="s">
        <v>36</v>
      </c>
      <c r="E990" t="s">
        <v>244</v>
      </c>
      <c r="F990">
        <v>-3500</v>
      </c>
      <c r="G990" t="s">
        <v>161</v>
      </c>
    </row>
    <row r="991" spans="1:7" x14ac:dyDescent="0.3">
      <c r="A991" s="42">
        <v>46059</v>
      </c>
      <c r="B991" s="43">
        <v>0.9466782407407407</v>
      </c>
      <c r="C991" t="s">
        <v>152</v>
      </c>
      <c r="D991" t="s">
        <v>43</v>
      </c>
      <c r="E991" t="s">
        <v>526</v>
      </c>
      <c r="F991">
        <v>-51000</v>
      </c>
      <c r="G991" t="s">
        <v>180</v>
      </c>
    </row>
    <row r="992" spans="1:7" x14ac:dyDescent="0.3">
      <c r="A992" s="42">
        <v>46059</v>
      </c>
      <c r="B992" s="43">
        <v>0.78613425925925928</v>
      </c>
      <c r="C992" t="s">
        <v>152</v>
      </c>
      <c r="D992" t="s">
        <v>49</v>
      </c>
      <c r="E992" t="s">
        <v>416</v>
      </c>
      <c r="F992">
        <v>-15800</v>
      </c>
      <c r="G992" t="s">
        <v>182</v>
      </c>
    </row>
    <row r="993" spans="1:7" x14ac:dyDescent="0.3">
      <c r="A993" s="42">
        <v>46059</v>
      </c>
      <c r="B993" s="43">
        <v>0.73913194444444441</v>
      </c>
      <c r="C993" t="s">
        <v>152</v>
      </c>
      <c r="D993" t="s">
        <v>40</v>
      </c>
      <c r="E993" t="s">
        <v>389</v>
      </c>
      <c r="F993">
        <v>-3920</v>
      </c>
      <c r="G993" t="s">
        <v>266</v>
      </c>
    </row>
    <row r="994" spans="1:7" x14ac:dyDescent="0.3">
      <c r="A994" s="42">
        <v>46059</v>
      </c>
      <c r="B994" s="43">
        <v>0.73449074074074072</v>
      </c>
      <c r="C994" t="s">
        <v>152</v>
      </c>
      <c r="D994" t="s">
        <v>37</v>
      </c>
      <c r="E994" t="s">
        <v>261</v>
      </c>
      <c r="F994">
        <v>-5270</v>
      </c>
      <c r="G994" t="s">
        <v>186</v>
      </c>
    </row>
    <row r="995" spans="1:7" x14ac:dyDescent="0.3">
      <c r="A995" s="42">
        <v>46059</v>
      </c>
      <c r="B995" s="43">
        <v>0.73447916666666668</v>
      </c>
      <c r="C995" t="s">
        <v>152</v>
      </c>
      <c r="D995" t="s">
        <v>38</v>
      </c>
      <c r="E995" t="s">
        <v>533</v>
      </c>
      <c r="F995">
        <v>-730</v>
      </c>
      <c r="G995" t="s">
        <v>199</v>
      </c>
    </row>
    <row r="996" spans="1:7" x14ac:dyDescent="0.3">
      <c r="A996" s="42">
        <v>46059</v>
      </c>
      <c r="B996" s="43">
        <v>0.64163194444444449</v>
      </c>
      <c r="C996" t="s">
        <v>152</v>
      </c>
      <c r="D996" t="s">
        <v>50</v>
      </c>
      <c r="E996" t="s">
        <v>184</v>
      </c>
      <c r="F996">
        <v>-1600</v>
      </c>
      <c r="G996" t="s">
        <v>266</v>
      </c>
    </row>
    <row r="997" spans="1:7" x14ac:dyDescent="0.3">
      <c r="A997" s="42">
        <v>46059</v>
      </c>
      <c r="B997" s="43">
        <v>0.4932523148148148</v>
      </c>
      <c r="C997" t="s">
        <v>152</v>
      </c>
      <c r="D997" t="s">
        <v>42</v>
      </c>
      <c r="E997" t="s">
        <v>534</v>
      </c>
      <c r="F997">
        <v>-17700</v>
      </c>
      <c r="G997" t="s">
        <v>266</v>
      </c>
    </row>
    <row r="998" spans="1:7" x14ac:dyDescent="0.3">
      <c r="A998" s="42">
        <v>46059</v>
      </c>
      <c r="B998" s="43">
        <v>0.43627314814814822</v>
      </c>
      <c r="C998" t="s">
        <v>152</v>
      </c>
      <c r="D998" t="s">
        <v>36</v>
      </c>
      <c r="E998" t="s">
        <v>274</v>
      </c>
      <c r="F998">
        <v>-1750</v>
      </c>
      <c r="G998" t="s">
        <v>161</v>
      </c>
    </row>
    <row r="999" spans="1:7" x14ac:dyDescent="0.3">
      <c r="A999" s="42">
        <v>46058</v>
      </c>
      <c r="B999" s="43">
        <v>0.43458333333333332</v>
      </c>
      <c r="C999" t="s">
        <v>152</v>
      </c>
      <c r="D999" t="s">
        <v>36</v>
      </c>
      <c r="E999" t="s">
        <v>274</v>
      </c>
      <c r="F999">
        <v>-1750</v>
      </c>
      <c r="G999" t="s">
        <v>161</v>
      </c>
    </row>
    <row r="1000" spans="1:7" x14ac:dyDescent="0.3">
      <c r="A1000" s="42">
        <v>46057</v>
      </c>
      <c r="B1000" s="43">
        <v>0.45736111111111111</v>
      </c>
      <c r="C1000" t="s">
        <v>152</v>
      </c>
      <c r="D1000" t="s">
        <v>44</v>
      </c>
      <c r="E1000" t="s">
        <v>535</v>
      </c>
      <c r="F1000">
        <v>-3</v>
      </c>
      <c r="G1000" t="s">
        <v>199</v>
      </c>
    </row>
    <row r="1001" spans="1:7" x14ac:dyDescent="0.3">
      <c r="A1001" s="42">
        <v>46057</v>
      </c>
      <c r="B1001" s="43">
        <v>0.45736111111111111</v>
      </c>
      <c r="C1001" t="s">
        <v>152</v>
      </c>
      <c r="D1001" t="s">
        <v>44</v>
      </c>
      <c r="E1001" t="s">
        <v>535</v>
      </c>
      <c r="F1001">
        <v>-4897</v>
      </c>
      <c r="G1001" t="s">
        <v>182</v>
      </c>
    </row>
    <row r="1002" spans="1:7" x14ac:dyDescent="0.3">
      <c r="A1002" s="42">
        <v>46057</v>
      </c>
      <c r="B1002" s="43">
        <v>0.41017361111111111</v>
      </c>
      <c r="C1002" t="s">
        <v>152</v>
      </c>
      <c r="D1002" t="s">
        <v>36</v>
      </c>
      <c r="E1002" t="s">
        <v>244</v>
      </c>
      <c r="F1002">
        <v>-3500</v>
      </c>
      <c r="G1002" t="s">
        <v>161</v>
      </c>
    </row>
    <row r="1003" spans="1:7" x14ac:dyDescent="0.3">
      <c r="A1003" s="42">
        <v>46057</v>
      </c>
      <c r="B1003" s="43">
        <v>0.36493055555555548</v>
      </c>
      <c r="C1003" t="s">
        <v>152</v>
      </c>
      <c r="D1003" t="s">
        <v>49</v>
      </c>
      <c r="E1003" t="s">
        <v>368</v>
      </c>
      <c r="F1003">
        <v>-300</v>
      </c>
      <c r="G1003" t="s">
        <v>266</v>
      </c>
    </row>
    <row r="1004" spans="1:7" x14ac:dyDescent="0.3">
      <c r="A1004" s="42">
        <v>46057</v>
      </c>
      <c r="B1004" s="43">
        <v>0.3535300925925926</v>
      </c>
      <c r="C1004" t="s">
        <v>155</v>
      </c>
      <c r="D1004" t="s">
        <v>155</v>
      </c>
      <c r="E1004" t="s">
        <v>210</v>
      </c>
      <c r="F1004">
        <v>231000</v>
      </c>
      <c r="G1004" t="s">
        <v>60</v>
      </c>
    </row>
    <row r="1005" spans="1:7" x14ac:dyDescent="0.3">
      <c r="A1005" s="42">
        <v>46056</v>
      </c>
      <c r="B1005" s="43">
        <v>0.97562499999999996</v>
      </c>
      <c r="C1005" t="s">
        <v>152</v>
      </c>
      <c r="D1005" t="s">
        <v>44</v>
      </c>
      <c r="E1005" t="s">
        <v>190</v>
      </c>
      <c r="F1005">
        <v>-11400</v>
      </c>
      <c r="G1005" t="s">
        <v>154</v>
      </c>
    </row>
    <row r="1006" spans="1:7" x14ac:dyDescent="0.3">
      <c r="A1006" s="42">
        <v>46056</v>
      </c>
      <c r="B1006" s="43">
        <v>0.97453703703703709</v>
      </c>
      <c r="C1006" t="s">
        <v>152</v>
      </c>
      <c r="D1006" t="s">
        <v>44</v>
      </c>
      <c r="E1006" t="s">
        <v>536</v>
      </c>
      <c r="F1006">
        <v>-38834</v>
      </c>
      <c r="G1006" t="s">
        <v>154</v>
      </c>
    </row>
    <row r="1007" spans="1:7" x14ac:dyDescent="0.3">
      <c r="A1007" s="42">
        <v>46056</v>
      </c>
      <c r="B1007" s="43">
        <v>0.83655092592592595</v>
      </c>
      <c r="C1007" t="s">
        <v>152</v>
      </c>
      <c r="D1007" t="s">
        <v>38</v>
      </c>
      <c r="E1007" t="s">
        <v>537</v>
      </c>
      <c r="F1007">
        <v>-100000</v>
      </c>
      <c r="G1007" t="s">
        <v>60</v>
      </c>
    </row>
    <row r="1008" spans="1:7" x14ac:dyDescent="0.3">
      <c r="A1008" s="42">
        <v>46056</v>
      </c>
      <c r="B1008" s="43">
        <v>0.51686342592592593</v>
      </c>
      <c r="C1008" t="s">
        <v>152</v>
      </c>
      <c r="D1008" t="s">
        <v>50</v>
      </c>
      <c r="E1008" t="s">
        <v>184</v>
      </c>
      <c r="F1008">
        <v>-6900</v>
      </c>
      <c r="G1008" t="s">
        <v>266</v>
      </c>
    </row>
    <row r="1009" spans="1:7" x14ac:dyDescent="0.3">
      <c r="A1009" s="42">
        <v>46056</v>
      </c>
      <c r="B1009" s="43">
        <v>0.43609953703703702</v>
      </c>
      <c r="C1009" t="s">
        <v>152</v>
      </c>
      <c r="D1009" t="s">
        <v>39</v>
      </c>
      <c r="E1009" t="s">
        <v>538</v>
      </c>
      <c r="F1009">
        <v>-134000</v>
      </c>
      <c r="G1009" t="s">
        <v>182</v>
      </c>
    </row>
    <row r="1010" spans="1:7" x14ac:dyDescent="0.3">
      <c r="A1010" s="42">
        <v>46055</v>
      </c>
      <c r="B1010" s="43">
        <v>0.81392361111111111</v>
      </c>
      <c r="C1010" t="s">
        <v>155</v>
      </c>
      <c r="D1010" t="s">
        <v>213</v>
      </c>
      <c r="E1010" t="s">
        <v>214</v>
      </c>
      <c r="F1010">
        <v>-48250</v>
      </c>
      <c r="G1010" t="s">
        <v>61</v>
      </c>
    </row>
    <row r="1011" spans="1:7" x14ac:dyDescent="0.3">
      <c r="A1011" s="42">
        <v>46055</v>
      </c>
      <c r="B1011" s="43">
        <v>0.4256712962962963</v>
      </c>
      <c r="C1011" t="s">
        <v>152</v>
      </c>
      <c r="D1011" t="s">
        <v>36</v>
      </c>
      <c r="E1011" t="s">
        <v>244</v>
      </c>
      <c r="F1011">
        <v>-3300</v>
      </c>
      <c r="G1011" t="s">
        <v>161</v>
      </c>
    </row>
    <row r="1012" spans="1:7" x14ac:dyDescent="0.3">
      <c r="A1012" s="42">
        <v>46055</v>
      </c>
      <c r="B1012" s="43">
        <v>0.36427083333333332</v>
      </c>
      <c r="C1012" t="s">
        <v>152</v>
      </c>
      <c r="D1012" t="s">
        <v>44</v>
      </c>
      <c r="E1012" t="s">
        <v>190</v>
      </c>
      <c r="F1012">
        <v>-9900</v>
      </c>
      <c r="G1012" t="s">
        <v>154</v>
      </c>
    </row>
    <row r="1013" spans="1:7" x14ac:dyDescent="0.3">
      <c r="A1013" s="42">
        <v>46055</v>
      </c>
      <c r="B1013" s="43">
        <v>0.36223379629629632</v>
      </c>
      <c r="C1013" t="s">
        <v>152</v>
      </c>
      <c r="D1013" t="s">
        <v>44</v>
      </c>
      <c r="E1013" t="s">
        <v>190</v>
      </c>
      <c r="F1013">
        <v>-5400</v>
      </c>
      <c r="G1013" t="s">
        <v>154</v>
      </c>
    </row>
    <row r="1014" spans="1:7" x14ac:dyDescent="0.3">
      <c r="A1014" s="42">
        <v>46055</v>
      </c>
      <c r="B1014" s="43">
        <v>0.34035879629629628</v>
      </c>
      <c r="C1014" t="s">
        <v>152</v>
      </c>
      <c r="D1014" t="s">
        <v>37</v>
      </c>
      <c r="E1014" t="s">
        <v>261</v>
      </c>
      <c r="F1014">
        <v>-5318</v>
      </c>
      <c r="G1014" t="s">
        <v>186</v>
      </c>
    </row>
    <row r="1015" spans="1:7" x14ac:dyDescent="0.3">
      <c r="A1015" s="42">
        <v>46055</v>
      </c>
      <c r="B1015" s="43">
        <v>0.34034722222222219</v>
      </c>
      <c r="C1015" t="s">
        <v>152</v>
      </c>
      <c r="D1015" t="s">
        <v>38</v>
      </c>
      <c r="E1015" t="s">
        <v>533</v>
      </c>
      <c r="F1015">
        <v>-682</v>
      </c>
      <c r="G1015" t="s">
        <v>199</v>
      </c>
    </row>
    <row r="1016" spans="1:7" x14ac:dyDescent="0.3">
      <c r="A1016" s="42">
        <v>46054</v>
      </c>
      <c r="B1016" s="43">
        <v>0.69319444444444445</v>
      </c>
      <c r="C1016" t="s">
        <v>155</v>
      </c>
      <c r="D1016" t="s">
        <v>163</v>
      </c>
      <c r="E1016" t="s">
        <v>164</v>
      </c>
      <c r="F1016">
        <v>15908</v>
      </c>
      <c r="G1016" t="s">
        <v>158</v>
      </c>
    </row>
    <row r="1017" spans="1:7" x14ac:dyDescent="0.3">
      <c r="A1017" s="42">
        <v>46054</v>
      </c>
      <c r="B1017" s="43">
        <v>0.69319444444444445</v>
      </c>
      <c r="C1017" t="s">
        <v>152</v>
      </c>
      <c r="D1017" t="s">
        <v>37</v>
      </c>
      <c r="E1017" t="s">
        <v>165</v>
      </c>
      <c r="F1017">
        <v>-22000</v>
      </c>
      <c r="G1017" t="s">
        <v>158</v>
      </c>
    </row>
    <row r="1018" spans="1:7" x14ac:dyDescent="0.3">
      <c r="A1018" s="42">
        <v>46054</v>
      </c>
      <c r="B1018" s="43">
        <v>0.69319444444444445</v>
      </c>
      <c r="C1018" t="s">
        <v>155</v>
      </c>
      <c r="D1018" t="s">
        <v>163</v>
      </c>
      <c r="E1018" t="s">
        <v>166</v>
      </c>
      <c r="F1018">
        <v>-15908</v>
      </c>
      <c r="G1018" t="s">
        <v>61</v>
      </c>
    </row>
    <row r="1019" spans="1:7" x14ac:dyDescent="0.3">
      <c r="A1019" s="42">
        <v>46054</v>
      </c>
      <c r="B1019" s="43">
        <v>0.41916666666666669</v>
      </c>
      <c r="C1019" t="s">
        <v>152</v>
      </c>
      <c r="D1019" t="s">
        <v>36</v>
      </c>
      <c r="E1019" t="s">
        <v>243</v>
      </c>
      <c r="F1019">
        <v>-1500</v>
      </c>
      <c r="G1019" t="s">
        <v>161</v>
      </c>
    </row>
    <row r="1020" spans="1:7" x14ac:dyDescent="0.3">
      <c r="A1020" s="42">
        <v>46054</v>
      </c>
      <c r="B1020" s="43">
        <v>0.41916666666666669</v>
      </c>
      <c r="C1020" t="s">
        <v>152</v>
      </c>
      <c r="D1020" t="s">
        <v>36</v>
      </c>
      <c r="E1020" t="s">
        <v>244</v>
      </c>
      <c r="F1020">
        <v>-2000</v>
      </c>
      <c r="G1020" t="s">
        <v>161</v>
      </c>
    </row>
    <row r="1021" spans="1:7" x14ac:dyDescent="0.3">
      <c r="A1021" s="42">
        <v>46053</v>
      </c>
      <c r="B1021" s="43">
        <v>0.5552893518518518</v>
      </c>
      <c r="C1021" t="s">
        <v>152</v>
      </c>
      <c r="D1021" t="s">
        <v>42</v>
      </c>
      <c r="E1021" t="s">
        <v>539</v>
      </c>
      <c r="F1021">
        <v>-87295</v>
      </c>
      <c r="G1021" t="s">
        <v>266</v>
      </c>
    </row>
    <row r="1022" spans="1:7" x14ac:dyDescent="0.3">
      <c r="A1022" s="42">
        <v>46053</v>
      </c>
      <c r="B1022" s="43">
        <v>0.46834490740740742</v>
      </c>
      <c r="C1022" t="s">
        <v>152</v>
      </c>
      <c r="D1022" t="s">
        <v>37</v>
      </c>
      <c r="E1022" t="s">
        <v>498</v>
      </c>
      <c r="F1022">
        <v>-18500</v>
      </c>
      <c r="G1022" t="s">
        <v>266</v>
      </c>
    </row>
    <row r="1023" spans="1:7" x14ac:dyDescent="0.3">
      <c r="A1023" s="42">
        <v>46053</v>
      </c>
      <c r="B1023" s="43">
        <v>0.43128472222222219</v>
      </c>
      <c r="C1023" t="s">
        <v>152</v>
      </c>
      <c r="D1023" t="s">
        <v>36</v>
      </c>
      <c r="E1023" t="s">
        <v>226</v>
      </c>
      <c r="F1023">
        <v>-1600</v>
      </c>
      <c r="G1023" t="s">
        <v>161</v>
      </c>
    </row>
    <row r="1024" spans="1:7" x14ac:dyDescent="0.3">
      <c r="A1024" s="42">
        <v>46053</v>
      </c>
      <c r="B1024" s="43">
        <v>0.43128472222222219</v>
      </c>
      <c r="C1024" t="s">
        <v>152</v>
      </c>
      <c r="D1024" t="s">
        <v>36</v>
      </c>
      <c r="E1024" t="s">
        <v>365</v>
      </c>
      <c r="F1024">
        <v>-5400</v>
      </c>
      <c r="G1024" t="s">
        <v>161</v>
      </c>
    </row>
    <row r="1025" spans="1:7" x14ac:dyDescent="0.3">
      <c r="A1025" s="42">
        <v>46052</v>
      </c>
      <c r="B1025" s="43">
        <v>0.60494212962962968</v>
      </c>
      <c r="C1025" t="s">
        <v>152</v>
      </c>
      <c r="D1025" t="s">
        <v>36</v>
      </c>
      <c r="E1025" t="s">
        <v>250</v>
      </c>
      <c r="F1025">
        <v>-46200</v>
      </c>
      <c r="G1025" t="s">
        <v>266</v>
      </c>
    </row>
    <row r="1026" spans="1:7" x14ac:dyDescent="0.3">
      <c r="A1026" s="42">
        <v>46052</v>
      </c>
      <c r="B1026" s="43">
        <v>0.33046296296296301</v>
      </c>
      <c r="C1026" t="s">
        <v>152</v>
      </c>
      <c r="D1026" t="s">
        <v>40</v>
      </c>
      <c r="E1026" t="s">
        <v>540</v>
      </c>
      <c r="F1026">
        <v>-4000</v>
      </c>
      <c r="G1026" t="s">
        <v>266</v>
      </c>
    </row>
    <row r="1027" spans="1:7" x14ac:dyDescent="0.3">
      <c r="A1027" s="42">
        <v>46051</v>
      </c>
      <c r="B1027" s="43">
        <v>0.94270833333333337</v>
      </c>
      <c r="C1027" t="s">
        <v>155</v>
      </c>
      <c r="D1027" t="s">
        <v>163</v>
      </c>
      <c r="E1027" t="s">
        <v>7</v>
      </c>
      <c r="F1027">
        <v>10000000</v>
      </c>
      <c r="G1027" t="s">
        <v>61</v>
      </c>
    </row>
    <row r="1028" spans="1:7" x14ac:dyDescent="0.3">
      <c r="A1028" s="42">
        <v>46051</v>
      </c>
      <c r="B1028" s="43">
        <v>0.94269675925925922</v>
      </c>
      <c r="C1028" t="s">
        <v>155</v>
      </c>
      <c r="D1028" t="s">
        <v>163</v>
      </c>
      <c r="E1028" t="s">
        <v>7</v>
      </c>
      <c r="F1028">
        <v>-10000000</v>
      </c>
      <c r="G1028" t="s">
        <v>64</v>
      </c>
    </row>
    <row r="1029" spans="1:7" x14ac:dyDescent="0.3">
      <c r="A1029" s="42">
        <v>46051</v>
      </c>
      <c r="B1029" s="43">
        <v>0.91162037037037036</v>
      </c>
      <c r="C1029" t="s">
        <v>152</v>
      </c>
      <c r="D1029" t="s">
        <v>44</v>
      </c>
      <c r="E1029" t="s">
        <v>190</v>
      </c>
      <c r="F1029">
        <v>-3500</v>
      </c>
      <c r="G1029" t="s">
        <v>154</v>
      </c>
    </row>
    <row r="1030" spans="1:7" x14ac:dyDescent="0.3">
      <c r="A1030" s="42">
        <v>46051</v>
      </c>
      <c r="B1030" s="43">
        <v>0.42177083333333332</v>
      </c>
      <c r="C1030" t="s">
        <v>152</v>
      </c>
      <c r="D1030" t="s">
        <v>36</v>
      </c>
      <c r="E1030" t="s">
        <v>243</v>
      </c>
      <c r="F1030">
        <v>-1500</v>
      </c>
      <c r="G1030" t="s">
        <v>161</v>
      </c>
    </row>
    <row r="1031" spans="1:7" x14ac:dyDescent="0.3">
      <c r="A1031" s="42">
        <v>46051</v>
      </c>
      <c r="B1031" s="43">
        <v>0.42177083333333332</v>
      </c>
      <c r="C1031" t="s">
        <v>152</v>
      </c>
      <c r="D1031" t="s">
        <v>36</v>
      </c>
      <c r="E1031" t="s">
        <v>244</v>
      </c>
      <c r="F1031">
        <v>-2000</v>
      </c>
      <c r="G1031" t="s">
        <v>161</v>
      </c>
    </row>
    <row r="1032" spans="1:7" x14ac:dyDescent="0.3">
      <c r="A1032" s="42">
        <v>46051</v>
      </c>
      <c r="B1032" s="43">
        <v>0.33155092592592589</v>
      </c>
      <c r="C1032" t="s">
        <v>152</v>
      </c>
      <c r="D1032" t="s">
        <v>44</v>
      </c>
      <c r="E1032" t="s">
        <v>536</v>
      </c>
      <c r="F1032">
        <v>-36398</v>
      </c>
      <c r="G1032" t="s">
        <v>154</v>
      </c>
    </row>
    <row r="1033" spans="1:7" x14ac:dyDescent="0.3">
      <c r="A1033" s="42">
        <v>46050</v>
      </c>
      <c r="B1033" s="43">
        <v>0.78053240740740737</v>
      </c>
      <c r="C1033" t="s">
        <v>152</v>
      </c>
      <c r="D1033" t="s">
        <v>40</v>
      </c>
      <c r="E1033" t="s">
        <v>455</v>
      </c>
      <c r="F1033">
        <v>-2000</v>
      </c>
      <c r="G1033" t="s">
        <v>266</v>
      </c>
    </row>
    <row r="1034" spans="1:7" x14ac:dyDescent="0.3">
      <c r="A1034" s="42">
        <v>46050</v>
      </c>
      <c r="B1034" s="43">
        <v>0.6877199074074074</v>
      </c>
      <c r="C1034" t="s">
        <v>176</v>
      </c>
      <c r="D1034" t="s">
        <v>32</v>
      </c>
      <c r="E1034" t="s">
        <v>541</v>
      </c>
      <c r="F1034">
        <v>225050</v>
      </c>
      <c r="G1034" t="s">
        <v>67</v>
      </c>
    </row>
    <row r="1035" spans="1:7" x14ac:dyDescent="0.3">
      <c r="A1035" s="42">
        <v>46050</v>
      </c>
      <c r="B1035" s="43">
        <v>0.68556712962962962</v>
      </c>
      <c r="C1035" t="s">
        <v>152</v>
      </c>
      <c r="D1035" t="s">
        <v>44</v>
      </c>
      <c r="E1035" t="s">
        <v>430</v>
      </c>
      <c r="F1035">
        <v>-116250</v>
      </c>
      <c r="G1035" t="s">
        <v>266</v>
      </c>
    </row>
    <row r="1036" spans="1:7" x14ac:dyDescent="0.3">
      <c r="A1036" s="42">
        <v>46050</v>
      </c>
      <c r="B1036" s="43">
        <v>0.63047453703703704</v>
      </c>
      <c r="C1036" t="s">
        <v>152</v>
      </c>
      <c r="D1036" t="s">
        <v>49</v>
      </c>
      <c r="E1036" t="s">
        <v>288</v>
      </c>
      <c r="F1036">
        <v>-10000</v>
      </c>
      <c r="G1036" t="s">
        <v>266</v>
      </c>
    </row>
    <row r="1037" spans="1:7" x14ac:dyDescent="0.3">
      <c r="A1037" s="42">
        <v>46050</v>
      </c>
      <c r="B1037" s="43">
        <v>0.58277777777777773</v>
      </c>
      <c r="C1037" t="s">
        <v>152</v>
      </c>
      <c r="D1037" t="s">
        <v>44</v>
      </c>
      <c r="E1037" t="s">
        <v>375</v>
      </c>
      <c r="F1037">
        <v>-24190</v>
      </c>
      <c r="G1037" t="s">
        <v>266</v>
      </c>
    </row>
    <row r="1038" spans="1:7" x14ac:dyDescent="0.3">
      <c r="A1038" s="42">
        <v>46050</v>
      </c>
      <c r="B1038" s="43">
        <v>0.35450231481481481</v>
      </c>
      <c r="C1038" t="s">
        <v>152</v>
      </c>
      <c r="D1038" t="s">
        <v>40</v>
      </c>
      <c r="E1038" t="s">
        <v>455</v>
      </c>
      <c r="F1038">
        <v>-5000</v>
      </c>
      <c r="G1038" t="s">
        <v>266</v>
      </c>
    </row>
    <row r="1039" spans="1:7" x14ac:dyDescent="0.3">
      <c r="A1039" s="42">
        <v>46049</v>
      </c>
      <c r="B1039" s="43">
        <v>0.94149305555555551</v>
      </c>
      <c r="C1039" t="s">
        <v>155</v>
      </c>
      <c r="D1039" t="s">
        <v>163</v>
      </c>
      <c r="E1039" t="s">
        <v>7</v>
      </c>
      <c r="F1039">
        <v>-30000000</v>
      </c>
      <c r="G1039" t="s">
        <v>67</v>
      </c>
    </row>
    <row r="1040" spans="1:7" x14ac:dyDescent="0.3">
      <c r="A1040" s="42">
        <v>46049</v>
      </c>
      <c r="B1040" s="43">
        <v>0.7895833333333333</v>
      </c>
      <c r="C1040" t="s">
        <v>152</v>
      </c>
      <c r="D1040" t="s">
        <v>40</v>
      </c>
      <c r="E1040" t="s">
        <v>409</v>
      </c>
      <c r="F1040">
        <v>-4800</v>
      </c>
      <c r="G1040" t="s">
        <v>266</v>
      </c>
    </row>
    <row r="1041" spans="1:7" x14ac:dyDescent="0.3">
      <c r="A1041" s="42">
        <v>46049</v>
      </c>
      <c r="B1041" s="43">
        <v>0.52089120370370368</v>
      </c>
      <c r="C1041" t="s">
        <v>152</v>
      </c>
      <c r="D1041" t="s">
        <v>40</v>
      </c>
      <c r="E1041" t="s">
        <v>542</v>
      </c>
      <c r="F1041">
        <v>-14610</v>
      </c>
      <c r="G1041" t="s">
        <v>182</v>
      </c>
    </row>
    <row r="1042" spans="1:7" x14ac:dyDescent="0.3">
      <c r="A1042" s="42">
        <v>46049</v>
      </c>
      <c r="B1042" s="43">
        <v>0.5136574074074074</v>
      </c>
      <c r="C1042" t="s">
        <v>152</v>
      </c>
      <c r="D1042" t="s">
        <v>49</v>
      </c>
      <c r="E1042" t="s">
        <v>543</v>
      </c>
      <c r="F1042">
        <v>-9600</v>
      </c>
      <c r="G1042" t="s">
        <v>266</v>
      </c>
    </row>
    <row r="1043" spans="1:7" x14ac:dyDescent="0.3">
      <c r="A1043" s="42">
        <v>46049</v>
      </c>
      <c r="B1043" s="43">
        <v>0.41769675925925931</v>
      </c>
      <c r="C1043" t="s">
        <v>152</v>
      </c>
      <c r="D1043" t="s">
        <v>36</v>
      </c>
      <c r="E1043" t="s">
        <v>243</v>
      </c>
      <c r="F1043">
        <v>-1500</v>
      </c>
      <c r="G1043" t="s">
        <v>161</v>
      </c>
    </row>
    <row r="1044" spans="1:7" x14ac:dyDescent="0.3">
      <c r="A1044" s="42">
        <v>46049</v>
      </c>
      <c r="B1044" s="43">
        <v>0.41769675925925931</v>
      </c>
      <c r="C1044" t="s">
        <v>152</v>
      </c>
      <c r="D1044" t="s">
        <v>36</v>
      </c>
      <c r="E1044" t="s">
        <v>244</v>
      </c>
      <c r="F1044">
        <v>-2000</v>
      </c>
      <c r="G1044" t="s">
        <v>161</v>
      </c>
    </row>
    <row r="1045" spans="1:7" x14ac:dyDescent="0.3">
      <c r="A1045" s="42">
        <v>46049</v>
      </c>
      <c r="B1045" s="43">
        <v>0.40930555555555548</v>
      </c>
      <c r="C1045" t="s">
        <v>152</v>
      </c>
      <c r="D1045" t="s">
        <v>44</v>
      </c>
      <c r="E1045" t="s">
        <v>190</v>
      </c>
      <c r="F1045">
        <v>-108800</v>
      </c>
      <c r="G1045" t="s">
        <v>154</v>
      </c>
    </row>
    <row r="1046" spans="1:7" x14ac:dyDescent="0.3">
      <c r="A1046" s="42">
        <v>46048</v>
      </c>
      <c r="B1046" s="43">
        <v>0.84486111111111106</v>
      </c>
      <c r="C1046" t="s">
        <v>152</v>
      </c>
      <c r="D1046" t="s">
        <v>37</v>
      </c>
      <c r="E1046" t="s">
        <v>544</v>
      </c>
      <c r="F1046">
        <v>-20000</v>
      </c>
      <c r="G1046" t="s">
        <v>61</v>
      </c>
    </row>
    <row r="1047" spans="1:7" x14ac:dyDescent="0.3">
      <c r="A1047" s="42">
        <v>46048</v>
      </c>
      <c r="B1047" s="43">
        <v>0.80793981481481481</v>
      </c>
      <c r="C1047" t="s">
        <v>152</v>
      </c>
      <c r="D1047" t="s">
        <v>37</v>
      </c>
      <c r="E1047" t="s">
        <v>545</v>
      </c>
      <c r="F1047">
        <v>-153079</v>
      </c>
      <c r="G1047" t="s">
        <v>60</v>
      </c>
    </row>
    <row r="1048" spans="1:7" x14ac:dyDescent="0.3">
      <c r="A1048" s="42">
        <v>46048</v>
      </c>
      <c r="B1048" s="43">
        <v>0.80668981481481483</v>
      </c>
      <c r="C1048" t="s">
        <v>152</v>
      </c>
      <c r="D1048" t="s">
        <v>40</v>
      </c>
      <c r="E1048" t="s">
        <v>546</v>
      </c>
      <c r="F1048">
        <v>-258304</v>
      </c>
      <c r="G1048" t="s">
        <v>61</v>
      </c>
    </row>
    <row r="1049" spans="1:7" x14ac:dyDescent="0.3">
      <c r="A1049" s="42">
        <v>46048</v>
      </c>
      <c r="B1049" s="43">
        <v>0.59106481481481477</v>
      </c>
      <c r="C1049" t="s">
        <v>152</v>
      </c>
      <c r="D1049" t="s">
        <v>44</v>
      </c>
      <c r="E1049" t="s">
        <v>190</v>
      </c>
      <c r="F1049">
        <v>-5750</v>
      </c>
      <c r="G1049" t="s">
        <v>154</v>
      </c>
    </row>
    <row r="1050" spans="1:7" x14ac:dyDescent="0.3">
      <c r="A1050" s="42">
        <v>46048</v>
      </c>
      <c r="B1050" s="43">
        <v>0.58165509259259263</v>
      </c>
      <c r="C1050" t="s">
        <v>152</v>
      </c>
      <c r="D1050" t="s">
        <v>44</v>
      </c>
      <c r="E1050" t="s">
        <v>430</v>
      </c>
      <c r="F1050">
        <v>-56630</v>
      </c>
      <c r="G1050" t="s">
        <v>266</v>
      </c>
    </row>
    <row r="1051" spans="1:7" x14ac:dyDescent="0.3">
      <c r="A1051" s="42">
        <v>46048</v>
      </c>
      <c r="B1051" s="43">
        <v>0.49260416666666668</v>
      </c>
      <c r="C1051" t="s">
        <v>155</v>
      </c>
      <c r="D1051" t="s">
        <v>163</v>
      </c>
      <c r="E1051" t="s">
        <v>223</v>
      </c>
      <c r="F1051">
        <v>39</v>
      </c>
      <c r="G1051" t="s">
        <v>68</v>
      </c>
    </row>
    <row r="1052" spans="1:7" x14ac:dyDescent="0.3">
      <c r="A1052" s="42">
        <v>46048</v>
      </c>
      <c r="B1052" s="43">
        <v>0.49260416666666668</v>
      </c>
      <c r="C1052" t="s">
        <v>155</v>
      </c>
      <c r="D1052" t="s">
        <v>163</v>
      </c>
      <c r="E1052" t="s">
        <v>68</v>
      </c>
      <c r="F1052">
        <v>-39</v>
      </c>
      <c r="G1052" t="s">
        <v>67</v>
      </c>
    </row>
    <row r="1053" spans="1:7" x14ac:dyDescent="0.3">
      <c r="A1053" s="42">
        <v>46048</v>
      </c>
      <c r="B1053" s="43">
        <v>4.2372685185185187E-2</v>
      </c>
      <c r="C1053" t="s">
        <v>152</v>
      </c>
      <c r="D1053" t="s">
        <v>48</v>
      </c>
      <c r="E1053" t="s">
        <v>251</v>
      </c>
      <c r="F1053">
        <v>-300</v>
      </c>
      <c r="G1053" t="s">
        <v>154</v>
      </c>
    </row>
    <row r="1054" spans="1:7" x14ac:dyDescent="0.3">
      <c r="A1054" s="42">
        <v>46047</v>
      </c>
      <c r="B1054" s="43">
        <v>0.85039351851851852</v>
      </c>
      <c r="C1054" t="s">
        <v>152</v>
      </c>
      <c r="D1054" t="s">
        <v>40</v>
      </c>
      <c r="E1054" t="s">
        <v>547</v>
      </c>
      <c r="F1054">
        <v>-12390</v>
      </c>
      <c r="G1054" t="s">
        <v>266</v>
      </c>
    </row>
    <row r="1055" spans="1:7" x14ac:dyDescent="0.3">
      <c r="A1055" s="42">
        <v>46047</v>
      </c>
      <c r="B1055" s="43">
        <v>0.44601851851851848</v>
      </c>
      <c r="C1055" t="s">
        <v>152</v>
      </c>
      <c r="D1055" t="s">
        <v>49</v>
      </c>
      <c r="E1055" t="s">
        <v>338</v>
      </c>
      <c r="F1055">
        <v>-6020</v>
      </c>
      <c r="G1055" t="s">
        <v>154</v>
      </c>
    </row>
    <row r="1056" spans="1:7" x14ac:dyDescent="0.3">
      <c r="A1056" s="42">
        <v>46047</v>
      </c>
      <c r="B1056" s="43">
        <v>0.41715277777777782</v>
      </c>
      <c r="C1056" t="s">
        <v>152</v>
      </c>
      <c r="D1056" t="s">
        <v>36</v>
      </c>
      <c r="E1056" t="s">
        <v>243</v>
      </c>
      <c r="F1056">
        <v>-1500</v>
      </c>
      <c r="G1056" t="s">
        <v>161</v>
      </c>
    </row>
    <row r="1057" spans="1:7" x14ac:dyDescent="0.3">
      <c r="A1057" s="42">
        <v>46047</v>
      </c>
      <c r="B1057" s="43">
        <v>0.41714120370370372</v>
      </c>
      <c r="C1057" t="s">
        <v>152</v>
      </c>
      <c r="D1057" t="s">
        <v>36</v>
      </c>
      <c r="E1057" t="s">
        <v>244</v>
      </c>
      <c r="F1057">
        <v>-2000</v>
      </c>
      <c r="G1057" t="s">
        <v>161</v>
      </c>
    </row>
    <row r="1058" spans="1:7" x14ac:dyDescent="0.3">
      <c r="A1058" s="42">
        <v>46046</v>
      </c>
      <c r="B1058" s="43">
        <v>0.81321759259259263</v>
      </c>
      <c r="C1058" t="s">
        <v>152</v>
      </c>
      <c r="D1058" t="s">
        <v>45</v>
      </c>
      <c r="E1058" t="s">
        <v>548</v>
      </c>
      <c r="F1058">
        <v>-5841</v>
      </c>
      <c r="G1058" t="s">
        <v>199</v>
      </c>
    </row>
    <row r="1059" spans="1:7" x14ac:dyDescent="0.3">
      <c r="A1059" s="42">
        <v>46046</v>
      </c>
      <c r="B1059" s="43">
        <v>0.81321759259259263</v>
      </c>
      <c r="C1059" t="s">
        <v>152</v>
      </c>
      <c r="D1059" t="s">
        <v>45</v>
      </c>
      <c r="E1059" t="s">
        <v>548</v>
      </c>
      <c r="F1059">
        <v>-13659</v>
      </c>
      <c r="G1059" t="s">
        <v>182</v>
      </c>
    </row>
    <row r="1060" spans="1:7" x14ac:dyDescent="0.3">
      <c r="A1060" s="42">
        <v>46046</v>
      </c>
      <c r="B1060" s="43">
        <v>0.42048611111111112</v>
      </c>
      <c r="C1060" t="s">
        <v>152</v>
      </c>
      <c r="D1060" t="s">
        <v>36</v>
      </c>
      <c r="E1060" t="s">
        <v>226</v>
      </c>
      <c r="F1060">
        <v>-1600</v>
      </c>
      <c r="G1060" t="s">
        <v>161</v>
      </c>
    </row>
    <row r="1061" spans="1:7" x14ac:dyDescent="0.3">
      <c r="A1061" s="42">
        <v>46046</v>
      </c>
      <c r="B1061" s="43">
        <v>0.42048611111111112</v>
      </c>
      <c r="C1061" t="s">
        <v>152</v>
      </c>
      <c r="D1061" t="s">
        <v>36</v>
      </c>
      <c r="E1061" t="s">
        <v>244</v>
      </c>
      <c r="F1061">
        <v>-1900</v>
      </c>
      <c r="G1061" t="s">
        <v>161</v>
      </c>
    </row>
    <row r="1062" spans="1:7" x14ac:dyDescent="0.3">
      <c r="A1062" s="42">
        <v>46046</v>
      </c>
      <c r="B1062" s="43">
        <v>0.18430555555555561</v>
      </c>
      <c r="C1062" t="s">
        <v>176</v>
      </c>
      <c r="D1062" t="s">
        <v>28</v>
      </c>
      <c r="E1062" t="s">
        <v>241</v>
      </c>
      <c r="F1062">
        <v>0</v>
      </c>
      <c r="G1062" t="s">
        <v>63</v>
      </c>
    </row>
    <row r="1063" spans="1:7" x14ac:dyDescent="0.3">
      <c r="A1063" s="42">
        <v>46046</v>
      </c>
      <c r="B1063" s="43">
        <v>0.1761342592592593</v>
      </c>
      <c r="C1063" t="s">
        <v>176</v>
      </c>
      <c r="D1063" t="s">
        <v>28</v>
      </c>
      <c r="E1063" t="s">
        <v>240</v>
      </c>
      <c r="F1063">
        <v>39</v>
      </c>
      <c r="G1063" t="s">
        <v>67</v>
      </c>
    </row>
    <row r="1064" spans="1:7" x14ac:dyDescent="0.3">
      <c r="A1064" s="42">
        <v>46046</v>
      </c>
      <c r="B1064" s="43">
        <v>0.16893518518518519</v>
      </c>
      <c r="C1064" t="s">
        <v>176</v>
      </c>
      <c r="D1064" t="s">
        <v>28</v>
      </c>
      <c r="E1064" t="s">
        <v>240</v>
      </c>
      <c r="F1064">
        <v>1570</v>
      </c>
      <c r="G1064" t="s">
        <v>67</v>
      </c>
    </row>
    <row r="1065" spans="1:7" x14ac:dyDescent="0.3">
      <c r="A1065" s="42">
        <v>46046</v>
      </c>
      <c r="B1065" s="43">
        <v>8.2592592592592592E-2</v>
      </c>
      <c r="C1065" t="s">
        <v>155</v>
      </c>
      <c r="D1065" t="s">
        <v>217</v>
      </c>
      <c r="E1065" t="s">
        <v>242</v>
      </c>
      <c r="F1065">
        <v>104</v>
      </c>
      <c r="G1065" t="s">
        <v>68</v>
      </c>
    </row>
    <row r="1066" spans="1:7" x14ac:dyDescent="0.3">
      <c r="A1066" s="42">
        <v>46045</v>
      </c>
      <c r="B1066" s="43">
        <v>0.95224537037037038</v>
      </c>
      <c r="C1066" t="s">
        <v>152</v>
      </c>
      <c r="D1066" t="s">
        <v>37</v>
      </c>
      <c r="E1066" t="s">
        <v>498</v>
      </c>
      <c r="F1066">
        <v>15000</v>
      </c>
      <c r="G1066" t="s">
        <v>266</v>
      </c>
    </row>
    <row r="1067" spans="1:7" x14ac:dyDescent="0.3">
      <c r="A1067" s="42">
        <v>46045</v>
      </c>
      <c r="B1067" s="43">
        <v>0.87596064814814811</v>
      </c>
      <c r="C1067" t="s">
        <v>152</v>
      </c>
      <c r="D1067" t="s">
        <v>37</v>
      </c>
      <c r="E1067" t="s">
        <v>498</v>
      </c>
      <c r="F1067">
        <v>-15000</v>
      </c>
      <c r="G1067" t="s">
        <v>266</v>
      </c>
    </row>
    <row r="1068" spans="1:7" x14ac:dyDescent="0.3">
      <c r="A1068" s="42">
        <v>46045</v>
      </c>
      <c r="B1068" s="43">
        <v>0.82986111111111116</v>
      </c>
      <c r="C1068" t="s">
        <v>152</v>
      </c>
      <c r="D1068" t="s">
        <v>37</v>
      </c>
      <c r="E1068" t="s">
        <v>549</v>
      </c>
      <c r="F1068">
        <v>-16900</v>
      </c>
      <c r="G1068" t="s">
        <v>60</v>
      </c>
    </row>
    <row r="1069" spans="1:7" x14ac:dyDescent="0.3">
      <c r="A1069" s="42">
        <v>46045</v>
      </c>
      <c r="B1069" s="43">
        <v>0.81799768518518523</v>
      </c>
      <c r="C1069" t="s">
        <v>152</v>
      </c>
      <c r="D1069" t="s">
        <v>37</v>
      </c>
      <c r="E1069" t="s">
        <v>550</v>
      </c>
      <c r="F1069">
        <v>-14261</v>
      </c>
      <c r="G1069" t="s">
        <v>61</v>
      </c>
    </row>
    <row r="1070" spans="1:7" x14ac:dyDescent="0.3">
      <c r="A1070" s="42">
        <v>46045</v>
      </c>
      <c r="B1070" s="43">
        <v>0.7860300925925926</v>
      </c>
      <c r="C1070" t="s">
        <v>155</v>
      </c>
      <c r="D1070" t="s">
        <v>155</v>
      </c>
      <c r="E1070" t="s">
        <v>551</v>
      </c>
      <c r="F1070">
        <v>-4000</v>
      </c>
      <c r="G1070" t="s">
        <v>158</v>
      </c>
    </row>
    <row r="1071" spans="1:7" x14ac:dyDescent="0.3">
      <c r="A1071" s="42">
        <v>46045</v>
      </c>
      <c r="B1071" s="43">
        <v>0.78539351851851846</v>
      </c>
      <c r="C1071" t="s">
        <v>152</v>
      </c>
      <c r="D1071" t="s">
        <v>40</v>
      </c>
      <c r="E1071" t="s">
        <v>409</v>
      </c>
      <c r="F1071">
        <v>-7300</v>
      </c>
      <c r="G1071" t="s">
        <v>266</v>
      </c>
    </row>
    <row r="1072" spans="1:7" x14ac:dyDescent="0.3">
      <c r="A1072" s="42">
        <v>46045</v>
      </c>
      <c r="B1072" s="43">
        <v>0.77814814814814814</v>
      </c>
      <c r="C1072" t="s">
        <v>152</v>
      </c>
      <c r="D1072" t="s">
        <v>40</v>
      </c>
      <c r="E1072" t="s">
        <v>465</v>
      </c>
      <c r="F1072">
        <v>-1500</v>
      </c>
      <c r="G1072" t="s">
        <v>266</v>
      </c>
    </row>
    <row r="1073" spans="1:7" x14ac:dyDescent="0.3">
      <c r="A1073" s="42">
        <v>46045</v>
      </c>
      <c r="B1073" s="43">
        <v>0.75898148148148148</v>
      </c>
      <c r="C1073" t="s">
        <v>152</v>
      </c>
      <c r="D1073" t="s">
        <v>37</v>
      </c>
      <c r="E1073" t="s">
        <v>256</v>
      </c>
      <c r="F1073">
        <v>-587064</v>
      </c>
      <c r="G1073" t="s">
        <v>67</v>
      </c>
    </row>
    <row r="1074" spans="1:7" x14ac:dyDescent="0.3">
      <c r="A1074" s="42">
        <v>46045</v>
      </c>
      <c r="B1074" s="43">
        <v>0.5186574074074074</v>
      </c>
      <c r="C1074" t="s">
        <v>152</v>
      </c>
      <c r="D1074" t="s">
        <v>44</v>
      </c>
      <c r="E1074" t="s">
        <v>430</v>
      </c>
      <c r="F1074">
        <v>-20210</v>
      </c>
      <c r="G1074" t="s">
        <v>266</v>
      </c>
    </row>
    <row r="1075" spans="1:7" x14ac:dyDescent="0.3">
      <c r="A1075" s="42">
        <v>46045</v>
      </c>
      <c r="B1075" s="43">
        <v>0.47309027777777779</v>
      </c>
      <c r="C1075" t="s">
        <v>155</v>
      </c>
      <c r="D1075" t="s">
        <v>163</v>
      </c>
      <c r="E1075" t="s">
        <v>223</v>
      </c>
      <c r="F1075">
        <v>370</v>
      </c>
      <c r="G1075" t="s">
        <v>68</v>
      </c>
    </row>
    <row r="1076" spans="1:7" x14ac:dyDescent="0.3">
      <c r="A1076" s="42">
        <v>46045</v>
      </c>
      <c r="B1076" s="43">
        <v>0.47309027777777779</v>
      </c>
      <c r="C1076" t="s">
        <v>155</v>
      </c>
      <c r="D1076" t="s">
        <v>163</v>
      </c>
      <c r="E1076" t="s">
        <v>68</v>
      </c>
      <c r="F1076">
        <v>-370</v>
      </c>
      <c r="G1076" t="s">
        <v>67</v>
      </c>
    </row>
    <row r="1077" spans="1:7" x14ac:dyDescent="0.3">
      <c r="A1077" s="42">
        <v>46045</v>
      </c>
      <c r="B1077" s="43">
        <v>0.42593750000000002</v>
      </c>
      <c r="C1077" t="s">
        <v>152</v>
      </c>
      <c r="D1077" t="s">
        <v>36</v>
      </c>
      <c r="E1077" t="s">
        <v>243</v>
      </c>
      <c r="F1077">
        <v>-1500</v>
      </c>
      <c r="G1077" t="s">
        <v>161</v>
      </c>
    </row>
    <row r="1078" spans="1:7" x14ac:dyDescent="0.3">
      <c r="A1078" s="42">
        <v>46045</v>
      </c>
      <c r="B1078" s="43">
        <v>0.42593750000000002</v>
      </c>
      <c r="C1078" t="s">
        <v>152</v>
      </c>
      <c r="D1078" t="s">
        <v>36</v>
      </c>
      <c r="E1078" t="s">
        <v>244</v>
      </c>
      <c r="F1078">
        <v>-2000</v>
      </c>
      <c r="G1078" t="s">
        <v>161</v>
      </c>
    </row>
    <row r="1079" spans="1:7" x14ac:dyDescent="0.3">
      <c r="A1079" s="42">
        <v>46045</v>
      </c>
      <c r="B1079" s="43">
        <v>4.8969907407407413E-2</v>
      </c>
      <c r="C1079" t="s">
        <v>176</v>
      </c>
      <c r="D1079" t="s">
        <v>29</v>
      </c>
      <c r="E1079" t="s">
        <v>509</v>
      </c>
      <c r="F1079">
        <v>500000</v>
      </c>
      <c r="G1079" t="s">
        <v>64</v>
      </c>
    </row>
    <row r="1080" spans="1:7" x14ac:dyDescent="0.3">
      <c r="A1080" s="42">
        <v>46045</v>
      </c>
      <c r="B1080" s="43">
        <v>4.6828703703703713E-2</v>
      </c>
      <c r="C1080" t="s">
        <v>176</v>
      </c>
      <c r="D1080" t="s">
        <v>29</v>
      </c>
      <c r="E1080" t="s">
        <v>249</v>
      </c>
      <c r="F1080">
        <v>100000</v>
      </c>
      <c r="G1080" t="s">
        <v>64</v>
      </c>
    </row>
    <row r="1081" spans="1:7" x14ac:dyDescent="0.3">
      <c r="A1081" s="42">
        <v>46044</v>
      </c>
      <c r="B1081" s="43">
        <v>0.50089120370370366</v>
      </c>
      <c r="C1081" t="s">
        <v>152</v>
      </c>
      <c r="D1081" t="s">
        <v>50</v>
      </c>
      <c r="E1081" t="s">
        <v>184</v>
      </c>
      <c r="F1081">
        <v>-10700</v>
      </c>
      <c r="G1081" t="s">
        <v>266</v>
      </c>
    </row>
    <row r="1082" spans="1:7" x14ac:dyDescent="0.3">
      <c r="A1082" s="42">
        <v>46044</v>
      </c>
      <c r="B1082" s="43">
        <v>0.42635416666666659</v>
      </c>
      <c r="C1082" t="s">
        <v>152</v>
      </c>
      <c r="D1082" t="s">
        <v>36</v>
      </c>
      <c r="E1082" t="s">
        <v>226</v>
      </c>
      <c r="F1082">
        <v>-6000</v>
      </c>
      <c r="G1082" t="s">
        <v>161</v>
      </c>
    </row>
    <row r="1083" spans="1:7" x14ac:dyDescent="0.3">
      <c r="A1083" s="42">
        <v>46044</v>
      </c>
      <c r="B1083" s="43">
        <v>0.35633101851851851</v>
      </c>
      <c r="C1083" t="s">
        <v>152</v>
      </c>
      <c r="D1083" t="s">
        <v>37</v>
      </c>
      <c r="E1083" t="s">
        <v>366</v>
      </c>
      <c r="F1083">
        <v>-241630</v>
      </c>
      <c r="G1083" t="s">
        <v>67</v>
      </c>
    </row>
    <row r="1084" spans="1:7" x14ac:dyDescent="0.3">
      <c r="A1084" s="42">
        <v>46043</v>
      </c>
      <c r="B1084" s="43">
        <v>0.99641203703703707</v>
      </c>
      <c r="C1084" t="s">
        <v>152</v>
      </c>
      <c r="D1084" t="s">
        <v>44</v>
      </c>
      <c r="E1084" t="s">
        <v>552</v>
      </c>
      <c r="F1084">
        <v>-17910</v>
      </c>
      <c r="G1084" t="s">
        <v>199</v>
      </c>
    </row>
    <row r="1085" spans="1:7" x14ac:dyDescent="0.3">
      <c r="A1085" s="42">
        <v>46043</v>
      </c>
      <c r="B1085" s="43">
        <v>0.73538194444444449</v>
      </c>
      <c r="C1085" t="s">
        <v>152</v>
      </c>
      <c r="D1085" t="s">
        <v>40</v>
      </c>
      <c r="E1085" t="s">
        <v>389</v>
      </c>
      <c r="F1085">
        <v>-3920</v>
      </c>
      <c r="G1085" t="s">
        <v>266</v>
      </c>
    </row>
    <row r="1086" spans="1:7" x14ac:dyDescent="0.3">
      <c r="A1086" s="42">
        <v>46043</v>
      </c>
      <c r="B1086" s="43">
        <v>0.61173611111111115</v>
      </c>
      <c r="C1086" t="s">
        <v>152</v>
      </c>
      <c r="D1086" t="s">
        <v>44</v>
      </c>
      <c r="E1086" t="s">
        <v>190</v>
      </c>
      <c r="F1086">
        <v>-32520</v>
      </c>
      <c r="G1086" t="s">
        <v>154</v>
      </c>
    </row>
    <row r="1087" spans="1:7" x14ac:dyDescent="0.3">
      <c r="A1087" s="42">
        <v>46043</v>
      </c>
      <c r="B1087" s="43">
        <v>0.61153935185185182</v>
      </c>
      <c r="C1087" t="s">
        <v>152</v>
      </c>
      <c r="D1087" t="s">
        <v>44</v>
      </c>
      <c r="E1087" t="s">
        <v>265</v>
      </c>
      <c r="F1087">
        <v>-7890</v>
      </c>
      <c r="G1087" t="s">
        <v>266</v>
      </c>
    </row>
    <row r="1088" spans="1:7" x14ac:dyDescent="0.3">
      <c r="A1088" s="42">
        <v>46043</v>
      </c>
      <c r="B1088" s="43">
        <v>0.52001157407407406</v>
      </c>
      <c r="C1088" t="s">
        <v>155</v>
      </c>
      <c r="D1088" t="s">
        <v>163</v>
      </c>
      <c r="E1088" t="s">
        <v>7</v>
      </c>
      <c r="F1088">
        <v>10000000</v>
      </c>
      <c r="G1088" t="s">
        <v>67</v>
      </c>
    </row>
    <row r="1089" spans="1:7" x14ac:dyDescent="0.3">
      <c r="A1089" s="42">
        <v>46043</v>
      </c>
      <c r="B1089" s="43">
        <v>0.52001157407407406</v>
      </c>
      <c r="C1089" t="s">
        <v>155</v>
      </c>
      <c r="D1089" t="s">
        <v>163</v>
      </c>
      <c r="E1089" t="s">
        <v>7</v>
      </c>
      <c r="F1089">
        <v>-10000000</v>
      </c>
      <c r="G1089" t="s">
        <v>60</v>
      </c>
    </row>
    <row r="1090" spans="1:7" x14ac:dyDescent="0.3">
      <c r="A1090" s="42">
        <v>46043</v>
      </c>
      <c r="B1090" s="43">
        <v>0.33770833333333328</v>
      </c>
      <c r="C1090" t="s">
        <v>152</v>
      </c>
      <c r="D1090" t="s">
        <v>39</v>
      </c>
      <c r="E1090" t="s">
        <v>553</v>
      </c>
      <c r="F1090">
        <v>-1490</v>
      </c>
      <c r="G1090" t="s">
        <v>199</v>
      </c>
    </row>
    <row r="1091" spans="1:7" x14ac:dyDescent="0.3">
      <c r="A1091" s="42">
        <v>46043</v>
      </c>
      <c r="B1091" s="43">
        <v>0.33421296296296299</v>
      </c>
      <c r="C1091" t="s">
        <v>155</v>
      </c>
      <c r="D1091" t="s">
        <v>155</v>
      </c>
      <c r="E1091" t="s">
        <v>554</v>
      </c>
      <c r="F1091">
        <v>3735000</v>
      </c>
      <c r="G1091" t="s">
        <v>60</v>
      </c>
    </row>
    <row r="1092" spans="1:7" x14ac:dyDescent="0.3">
      <c r="A1092" s="42">
        <v>46043</v>
      </c>
      <c r="B1092" s="43">
        <v>0.33416666666666672</v>
      </c>
      <c r="C1092" t="s">
        <v>176</v>
      </c>
      <c r="D1092" t="s">
        <v>29</v>
      </c>
      <c r="E1092" t="s">
        <v>29</v>
      </c>
      <c r="F1092">
        <v>4773300</v>
      </c>
      <c r="G1092" t="s">
        <v>60</v>
      </c>
    </row>
    <row r="1093" spans="1:7" x14ac:dyDescent="0.3">
      <c r="A1093" s="42">
        <v>46042</v>
      </c>
      <c r="B1093" s="43">
        <v>0.98539351851851853</v>
      </c>
      <c r="C1093" t="s">
        <v>152</v>
      </c>
      <c r="D1093" t="s">
        <v>38</v>
      </c>
      <c r="E1093" t="s">
        <v>555</v>
      </c>
      <c r="F1093">
        <v>-410800</v>
      </c>
      <c r="G1093" t="s">
        <v>236</v>
      </c>
    </row>
    <row r="1094" spans="1:7" x14ac:dyDescent="0.3">
      <c r="A1094" s="42">
        <v>46042</v>
      </c>
      <c r="B1094" s="43">
        <v>0.89541666666666664</v>
      </c>
      <c r="C1094" t="s">
        <v>152</v>
      </c>
      <c r="D1094" t="s">
        <v>37</v>
      </c>
      <c r="E1094" t="s">
        <v>556</v>
      </c>
      <c r="F1094">
        <v>-48880</v>
      </c>
      <c r="G1094" t="s">
        <v>266</v>
      </c>
    </row>
    <row r="1095" spans="1:7" x14ac:dyDescent="0.3">
      <c r="A1095" s="42">
        <v>46042</v>
      </c>
      <c r="B1095" s="43">
        <v>0.72930555555555554</v>
      </c>
      <c r="C1095" t="s">
        <v>152</v>
      </c>
      <c r="D1095" t="s">
        <v>44</v>
      </c>
      <c r="E1095" t="s">
        <v>536</v>
      </c>
      <c r="F1095">
        <v>-50458</v>
      </c>
      <c r="G1095" t="s">
        <v>154</v>
      </c>
    </row>
    <row r="1096" spans="1:7" x14ac:dyDescent="0.3">
      <c r="A1096" s="42">
        <v>46042</v>
      </c>
      <c r="B1096" s="43">
        <v>0.64444444444444449</v>
      </c>
      <c r="C1096" t="s">
        <v>152</v>
      </c>
      <c r="D1096" t="s">
        <v>50</v>
      </c>
      <c r="E1096" t="s">
        <v>184</v>
      </c>
      <c r="F1096">
        <v>-3200</v>
      </c>
      <c r="G1096" t="s">
        <v>266</v>
      </c>
    </row>
    <row r="1097" spans="1:7" x14ac:dyDescent="0.3">
      <c r="A1097" s="42">
        <v>46042</v>
      </c>
      <c r="B1097" s="43">
        <v>0.50964120370370369</v>
      </c>
      <c r="C1097" t="s">
        <v>152</v>
      </c>
      <c r="D1097" t="s">
        <v>44</v>
      </c>
      <c r="E1097" t="s">
        <v>536</v>
      </c>
      <c r="F1097">
        <v>-38793</v>
      </c>
      <c r="G1097" t="s">
        <v>154</v>
      </c>
    </row>
    <row r="1098" spans="1:7" x14ac:dyDescent="0.3">
      <c r="A1098" s="42">
        <v>46042</v>
      </c>
      <c r="B1098" s="43">
        <v>0.40543981481481478</v>
      </c>
      <c r="C1098" t="s">
        <v>152</v>
      </c>
      <c r="D1098" t="s">
        <v>36</v>
      </c>
      <c r="E1098" t="s">
        <v>250</v>
      </c>
      <c r="F1098">
        <v>-45800</v>
      </c>
      <c r="G1098" t="s">
        <v>266</v>
      </c>
    </row>
    <row r="1099" spans="1:7" x14ac:dyDescent="0.3">
      <c r="A1099" s="42">
        <v>46041</v>
      </c>
      <c r="B1099" s="43">
        <v>0.76659722222222226</v>
      </c>
      <c r="C1099" t="s">
        <v>152</v>
      </c>
      <c r="D1099" t="s">
        <v>39</v>
      </c>
      <c r="E1099" t="s">
        <v>391</v>
      </c>
      <c r="F1099">
        <v>-18000</v>
      </c>
      <c r="G1099" t="s">
        <v>266</v>
      </c>
    </row>
    <row r="1100" spans="1:7" x14ac:dyDescent="0.3">
      <c r="A1100" s="42">
        <v>46041</v>
      </c>
      <c r="B1100" s="43">
        <v>0.69605324074074071</v>
      </c>
      <c r="C1100" t="s">
        <v>152</v>
      </c>
      <c r="D1100" t="s">
        <v>37</v>
      </c>
      <c r="E1100" t="s">
        <v>165</v>
      </c>
      <c r="F1100">
        <v>-22300</v>
      </c>
      <c r="G1100" t="s">
        <v>158</v>
      </c>
    </row>
    <row r="1101" spans="1:7" x14ac:dyDescent="0.3">
      <c r="A1101" s="42">
        <v>46041</v>
      </c>
      <c r="B1101" s="43">
        <v>0.59501157407407412</v>
      </c>
      <c r="C1101" t="s">
        <v>152</v>
      </c>
      <c r="D1101" t="s">
        <v>47</v>
      </c>
      <c r="E1101" t="s">
        <v>557</v>
      </c>
      <c r="F1101">
        <v>-11000</v>
      </c>
      <c r="G1101" t="s">
        <v>266</v>
      </c>
    </row>
    <row r="1102" spans="1:7" x14ac:dyDescent="0.3">
      <c r="A1102" s="42">
        <v>46041</v>
      </c>
      <c r="B1102" s="43">
        <v>0.48333333333333328</v>
      </c>
      <c r="C1102" t="s">
        <v>152</v>
      </c>
      <c r="D1102" t="s">
        <v>47</v>
      </c>
      <c r="E1102" t="s">
        <v>558</v>
      </c>
      <c r="F1102">
        <v>-15000</v>
      </c>
      <c r="G1102" t="s">
        <v>266</v>
      </c>
    </row>
    <row r="1103" spans="1:7" x14ac:dyDescent="0.3">
      <c r="A1103" s="42">
        <v>46041</v>
      </c>
      <c r="B1103" s="43">
        <v>0.44465277777777779</v>
      </c>
      <c r="C1103" t="s">
        <v>152</v>
      </c>
      <c r="D1103" t="s">
        <v>50</v>
      </c>
      <c r="E1103" t="s">
        <v>559</v>
      </c>
      <c r="F1103">
        <v>-6000</v>
      </c>
      <c r="G1103" t="s">
        <v>266</v>
      </c>
    </row>
    <row r="1104" spans="1:7" x14ac:dyDescent="0.3">
      <c r="A1104" s="42">
        <v>46041</v>
      </c>
      <c r="B1104" s="43">
        <v>0.42533564814814823</v>
      </c>
      <c r="C1104" t="s">
        <v>152</v>
      </c>
      <c r="D1104" t="s">
        <v>36</v>
      </c>
      <c r="E1104" t="s">
        <v>243</v>
      </c>
      <c r="F1104">
        <v>-1500</v>
      </c>
      <c r="G1104" t="s">
        <v>161</v>
      </c>
    </row>
    <row r="1105" spans="1:7" x14ac:dyDescent="0.3">
      <c r="A1105" s="42">
        <v>46041</v>
      </c>
      <c r="B1105" s="43">
        <v>0.42533564814814823</v>
      </c>
      <c r="C1105" t="s">
        <v>152</v>
      </c>
      <c r="D1105" t="s">
        <v>36</v>
      </c>
      <c r="E1105" t="s">
        <v>460</v>
      </c>
      <c r="F1105">
        <v>-3750</v>
      </c>
      <c r="G1105" t="s">
        <v>161</v>
      </c>
    </row>
    <row r="1106" spans="1:7" x14ac:dyDescent="0.3">
      <c r="A1106" s="42">
        <v>46041</v>
      </c>
      <c r="B1106" s="43">
        <v>0.42222222222222222</v>
      </c>
      <c r="C1106" t="s">
        <v>152</v>
      </c>
      <c r="D1106" t="s">
        <v>38</v>
      </c>
      <c r="E1106" t="s">
        <v>560</v>
      </c>
      <c r="F1106">
        <v>-30000</v>
      </c>
      <c r="G1106" t="s">
        <v>266</v>
      </c>
    </row>
    <row r="1107" spans="1:7" x14ac:dyDescent="0.3">
      <c r="A1107" s="42">
        <v>46041</v>
      </c>
      <c r="B1107" s="43">
        <v>0.41251157407407413</v>
      </c>
      <c r="C1107" t="s">
        <v>152</v>
      </c>
      <c r="D1107" t="s">
        <v>43</v>
      </c>
      <c r="E1107" t="s">
        <v>561</v>
      </c>
      <c r="F1107">
        <v>-15000</v>
      </c>
      <c r="G1107" t="s">
        <v>266</v>
      </c>
    </row>
    <row r="1108" spans="1:7" x14ac:dyDescent="0.3">
      <c r="A1108" s="42">
        <v>46040</v>
      </c>
      <c r="B1108" s="43">
        <v>0.87844907407407402</v>
      </c>
      <c r="C1108" t="s">
        <v>152</v>
      </c>
      <c r="D1108" t="s">
        <v>40</v>
      </c>
      <c r="E1108" t="s">
        <v>562</v>
      </c>
      <c r="F1108">
        <v>-2000</v>
      </c>
      <c r="G1108" t="s">
        <v>266</v>
      </c>
    </row>
    <row r="1109" spans="1:7" x14ac:dyDescent="0.3">
      <c r="A1109" s="42">
        <v>46040</v>
      </c>
      <c r="B1109" s="43">
        <v>0.84366898148148151</v>
      </c>
      <c r="C1109" t="s">
        <v>152</v>
      </c>
      <c r="D1109" t="s">
        <v>49</v>
      </c>
      <c r="E1109" t="s">
        <v>563</v>
      </c>
      <c r="F1109">
        <v>-200</v>
      </c>
      <c r="G1109" t="s">
        <v>266</v>
      </c>
    </row>
    <row r="1110" spans="1:7" x14ac:dyDescent="0.3">
      <c r="A1110" s="42">
        <v>46040</v>
      </c>
      <c r="B1110" s="43">
        <v>0.83946759259259263</v>
      </c>
      <c r="C1110" t="s">
        <v>152</v>
      </c>
      <c r="D1110" t="s">
        <v>49</v>
      </c>
      <c r="E1110" t="s">
        <v>563</v>
      </c>
      <c r="F1110">
        <v>-6500</v>
      </c>
      <c r="G1110" t="s">
        <v>266</v>
      </c>
    </row>
    <row r="1111" spans="1:7" x14ac:dyDescent="0.3">
      <c r="A1111" s="42">
        <v>46040</v>
      </c>
      <c r="B1111" s="43">
        <v>0.76553240740740736</v>
      </c>
      <c r="C1111" t="s">
        <v>152</v>
      </c>
      <c r="D1111" t="s">
        <v>42</v>
      </c>
      <c r="E1111" t="s">
        <v>564</v>
      </c>
      <c r="F1111">
        <v>-30000</v>
      </c>
      <c r="G1111" t="s">
        <v>266</v>
      </c>
    </row>
    <row r="1112" spans="1:7" x14ac:dyDescent="0.3">
      <c r="A1112" s="42">
        <v>46040</v>
      </c>
      <c r="B1112" s="43">
        <v>0.56184027777777779</v>
      </c>
      <c r="C1112" t="s">
        <v>152</v>
      </c>
      <c r="D1112" t="s">
        <v>49</v>
      </c>
      <c r="E1112" t="s">
        <v>338</v>
      </c>
      <c r="F1112">
        <v>-7000</v>
      </c>
      <c r="G1112" t="s">
        <v>154</v>
      </c>
    </row>
    <row r="1113" spans="1:7" x14ac:dyDescent="0.3">
      <c r="A1113" s="42">
        <v>46040</v>
      </c>
      <c r="B1113" s="43">
        <v>0.4327199074074074</v>
      </c>
      <c r="C1113" t="s">
        <v>152</v>
      </c>
      <c r="D1113" t="s">
        <v>36</v>
      </c>
      <c r="E1113" t="s">
        <v>225</v>
      </c>
      <c r="F1113">
        <v>-3300</v>
      </c>
      <c r="G1113" t="s">
        <v>161</v>
      </c>
    </row>
    <row r="1114" spans="1:7" x14ac:dyDescent="0.3">
      <c r="A1114" s="42">
        <v>46039</v>
      </c>
      <c r="B1114" s="43">
        <v>0.83868055555555554</v>
      </c>
      <c r="C1114" t="s">
        <v>152</v>
      </c>
      <c r="D1114" t="s">
        <v>38</v>
      </c>
      <c r="E1114" t="s">
        <v>441</v>
      </c>
      <c r="F1114">
        <v>-2900</v>
      </c>
      <c r="G1114" t="s">
        <v>266</v>
      </c>
    </row>
    <row r="1115" spans="1:7" x14ac:dyDescent="0.3">
      <c r="A1115" s="42">
        <v>46039</v>
      </c>
      <c r="B1115" s="43">
        <v>0.77504629629629629</v>
      </c>
      <c r="C1115" t="s">
        <v>155</v>
      </c>
      <c r="D1115" t="s">
        <v>155</v>
      </c>
      <c r="E1115" t="s">
        <v>565</v>
      </c>
      <c r="F1115">
        <v>-20000</v>
      </c>
      <c r="G1115" t="s">
        <v>158</v>
      </c>
    </row>
    <row r="1116" spans="1:7" x14ac:dyDescent="0.3">
      <c r="A1116" s="42">
        <v>46038</v>
      </c>
      <c r="B1116" s="43">
        <v>0.78122685185185181</v>
      </c>
      <c r="C1116" t="s">
        <v>152</v>
      </c>
      <c r="D1116" t="s">
        <v>42</v>
      </c>
      <c r="E1116" t="s">
        <v>481</v>
      </c>
      <c r="F1116">
        <v>-18400</v>
      </c>
      <c r="G1116" t="s">
        <v>154</v>
      </c>
    </row>
    <row r="1117" spans="1:7" x14ac:dyDescent="0.3">
      <c r="A1117" s="42">
        <v>46037</v>
      </c>
      <c r="B1117" s="43">
        <v>0.56636574074074075</v>
      </c>
      <c r="C1117" t="s">
        <v>152</v>
      </c>
      <c r="D1117" t="s">
        <v>42</v>
      </c>
      <c r="E1117" t="s">
        <v>566</v>
      </c>
      <c r="F1117">
        <v>23435</v>
      </c>
      <c r="G1117" t="s">
        <v>199</v>
      </c>
    </row>
    <row r="1118" spans="1:7" x14ac:dyDescent="0.3">
      <c r="A1118" s="42">
        <v>46037</v>
      </c>
      <c r="B1118" s="43">
        <v>0.56636574074074075</v>
      </c>
      <c r="C1118" t="s">
        <v>152</v>
      </c>
      <c r="D1118" t="s">
        <v>42</v>
      </c>
      <c r="E1118" t="s">
        <v>566</v>
      </c>
      <c r="F1118">
        <v>3435</v>
      </c>
      <c r="G1118" t="s">
        <v>182</v>
      </c>
    </row>
    <row r="1119" spans="1:7" x14ac:dyDescent="0.3">
      <c r="A1119" s="42">
        <v>46037</v>
      </c>
      <c r="B1119" s="43">
        <v>0.52581018518518519</v>
      </c>
      <c r="C1119" t="s">
        <v>152</v>
      </c>
      <c r="D1119" t="s">
        <v>42</v>
      </c>
      <c r="E1119" t="s">
        <v>566</v>
      </c>
      <c r="F1119">
        <v>-22240</v>
      </c>
      <c r="G1119" t="s">
        <v>182</v>
      </c>
    </row>
    <row r="1120" spans="1:7" x14ac:dyDescent="0.3">
      <c r="A1120" s="42">
        <v>46037</v>
      </c>
      <c r="B1120" s="43">
        <v>0.52484953703703707</v>
      </c>
      <c r="C1120" t="s">
        <v>152</v>
      </c>
      <c r="D1120" t="s">
        <v>50</v>
      </c>
      <c r="E1120" t="s">
        <v>184</v>
      </c>
      <c r="F1120">
        <v>-8000</v>
      </c>
      <c r="G1120" t="s">
        <v>266</v>
      </c>
    </row>
    <row r="1121" spans="1:7" x14ac:dyDescent="0.3">
      <c r="A1121" s="42">
        <v>46037</v>
      </c>
      <c r="B1121" s="43">
        <v>0.47028935185185178</v>
      </c>
      <c r="C1121" t="s">
        <v>152</v>
      </c>
      <c r="D1121" t="s">
        <v>42</v>
      </c>
      <c r="E1121" t="s">
        <v>566</v>
      </c>
      <c r="F1121">
        <v>-23435</v>
      </c>
      <c r="G1121" t="s">
        <v>199</v>
      </c>
    </row>
    <row r="1122" spans="1:7" x14ac:dyDescent="0.3">
      <c r="A1122" s="42">
        <v>46037</v>
      </c>
      <c r="B1122" s="43">
        <v>0.47028935185185178</v>
      </c>
      <c r="C1122" t="s">
        <v>152</v>
      </c>
      <c r="D1122" t="s">
        <v>42</v>
      </c>
      <c r="E1122" t="s">
        <v>566</v>
      </c>
      <c r="F1122">
        <v>-3435</v>
      </c>
      <c r="G1122" t="s">
        <v>182</v>
      </c>
    </row>
    <row r="1123" spans="1:7" x14ac:dyDescent="0.3">
      <c r="A1123" s="42">
        <v>46037</v>
      </c>
      <c r="B1123" s="43">
        <v>0.42631944444444442</v>
      </c>
      <c r="C1123" t="s">
        <v>152</v>
      </c>
      <c r="D1123" t="s">
        <v>36</v>
      </c>
      <c r="E1123" t="s">
        <v>274</v>
      </c>
      <c r="F1123">
        <v>-1650</v>
      </c>
      <c r="G1123" t="s">
        <v>161</v>
      </c>
    </row>
    <row r="1124" spans="1:7" x14ac:dyDescent="0.3">
      <c r="A1124" s="42">
        <v>46037</v>
      </c>
      <c r="B1124" s="43">
        <v>0.36626157407407411</v>
      </c>
      <c r="C1124" t="s">
        <v>152</v>
      </c>
      <c r="D1124" t="s">
        <v>49</v>
      </c>
      <c r="E1124" t="s">
        <v>368</v>
      </c>
      <c r="F1124">
        <v>-300</v>
      </c>
      <c r="G1124" t="s">
        <v>266</v>
      </c>
    </row>
    <row r="1125" spans="1:7" x14ac:dyDescent="0.3">
      <c r="A1125" s="42">
        <v>46036</v>
      </c>
      <c r="B1125" s="43">
        <v>0.80686342592592597</v>
      </c>
      <c r="C1125" t="s">
        <v>155</v>
      </c>
      <c r="D1125" t="s">
        <v>213</v>
      </c>
      <c r="E1125" t="s">
        <v>567</v>
      </c>
      <c r="F1125">
        <v>-1656109</v>
      </c>
      <c r="G1125" t="s">
        <v>61</v>
      </c>
    </row>
    <row r="1126" spans="1:7" x14ac:dyDescent="0.3">
      <c r="A1126" s="42">
        <v>46036</v>
      </c>
      <c r="B1126" s="43">
        <v>0.64103009259259258</v>
      </c>
      <c r="C1126" t="s">
        <v>152</v>
      </c>
      <c r="D1126" t="s">
        <v>42</v>
      </c>
      <c r="E1126" t="s">
        <v>568</v>
      </c>
      <c r="F1126">
        <v>-13900</v>
      </c>
      <c r="G1126" t="s">
        <v>182</v>
      </c>
    </row>
    <row r="1127" spans="1:7" x14ac:dyDescent="0.3">
      <c r="A1127" s="42">
        <v>46036</v>
      </c>
      <c r="B1127" s="43">
        <v>0.63990740740740737</v>
      </c>
      <c r="C1127" t="s">
        <v>152</v>
      </c>
      <c r="D1127" t="s">
        <v>40</v>
      </c>
      <c r="E1127" t="s">
        <v>434</v>
      </c>
      <c r="F1127">
        <v>-8020</v>
      </c>
      <c r="G1127" t="s">
        <v>266</v>
      </c>
    </row>
    <row r="1128" spans="1:7" x14ac:dyDescent="0.3">
      <c r="A1128" s="42">
        <v>46036</v>
      </c>
      <c r="B1128" s="43">
        <v>0.50980324074074079</v>
      </c>
      <c r="C1128" t="s">
        <v>152</v>
      </c>
      <c r="D1128" t="s">
        <v>42</v>
      </c>
      <c r="E1128" t="s">
        <v>436</v>
      </c>
      <c r="F1128">
        <v>-5800</v>
      </c>
      <c r="G1128" t="s">
        <v>266</v>
      </c>
    </row>
    <row r="1129" spans="1:7" x14ac:dyDescent="0.3">
      <c r="A1129" s="42">
        <v>46035</v>
      </c>
      <c r="B1129" s="43">
        <v>0.92121527777777779</v>
      </c>
      <c r="C1129" t="s">
        <v>152</v>
      </c>
      <c r="D1129" t="s">
        <v>40</v>
      </c>
      <c r="E1129" t="s">
        <v>569</v>
      </c>
      <c r="F1129">
        <v>-1700</v>
      </c>
      <c r="G1129" t="s">
        <v>266</v>
      </c>
    </row>
    <row r="1130" spans="1:7" x14ac:dyDescent="0.3">
      <c r="A1130" s="42">
        <v>46035</v>
      </c>
      <c r="B1130" s="43">
        <v>0.81012731481481481</v>
      </c>
      <c r="C1130" t="s">
        <v>155</v>
      </c>
      <c r="D1130" t="s">
        <v>213</v>
      </c>
      <c r="E1130" t="s">
        <v>326</v>
      </c>
      <c r="F1130">
        <v>-618384</v>
      </c>
      <c r="G1130" t="s">
        <v>61</v>
      </c>
    </row>
    <row r="1131" spans="1:7" x14ac:dyDescent="0.3">
      <c r="A1131" s="42">
        <v>46035</v>
      </c>
      <c r="B1131" s="43">
        <v>0.7896643518518518</v>
      </c>
      <c r="C1131" t="s">
        <v>152</v>
      </c>
      <c r="D1131" t="s">
        <v>37</v>
      </c>
      <c r="E1131" t="s">
        <v>165</v>
      </c>
      <c r="F1131">
        <v>-20000</v>
      </c>
      <c r="G1131" t="s">
        <v>158</v>
      </c>
    </row>
    <row r="1132" spans="1:7" x14ac:dyDescent="0.3">
      <c r="A1132" s="42">
        <v>46035</v>
      </c>
      <c r="B1132" s="43">
        <v>0.74679398148148146</v>
      </c>
      <c r="C1132" t="s">
        <v>176</v>
      </c>
      <c r="D1132" t="s">
        <v>28</v>
      </c>
      <c r="E1132" t="s">
        <v>178</v>
      </c>
      <c r="F1132">
        <v>16180</v>
      </c>
      <c r="G1132" t="s">
        <v>61</v>
      </c>
    </row>
    <row r="1133" spans="1:7" x14ac:dyDescent="0.3">
      <c r="A1133" s="42">
        <v>46035</v>
      </c>
      <c r="B1133" s="43">
        <v>0.50457175925925923</v>
      </c>
      <c r="C1133" t="s">
        <v>152</v>
      </c>
      <c r="D1133" t="s">
        <v>36</v>
      </c>
      <c r="E1133" t="s">
        <v>250</v>
      </c>
      <c r="F1133">
        <v>-46400</v>
      </c>
      <c r="G1133" t="s">
        <v>266</v>
      </c>
    </row>
    <row r="1134" spans="1:7" x14ac:dyDescent="0.3">
      <c r="A1134" s="42">
        <v>46035</v>
      </c>
      <c r="B1134" s="43">
        <v>0.49974537037037042</v>
      </c>
      <c r="C1134" t="s">
        <v>152</v>
      </c>
      <c r="D1134" t="s">
        <v>42</v>
      </c>
      <c r="E1134" t="s">
        <v>436</v>
      </c>
      <c r="F1134">
        <v>-5800</v>
      </c>
      <c r="G1134" t="s">
        <v>266</v>
      </c>
    </row>
    <row r="1135" spans="1:7" x14ac:dyDescent="0.3">
      <c r="A1135" s="42">
        <v>46034</v>
      </c>
      <c r="B1135" s="43">
        <v>0.86170138888888892</v>
      </c>
      <c r="C1135" t="s">
        <v>152</v>
      </c>
      <c r="D1135" t="s">
        <v>47</v>
      </c>
      <c r="E1135" t="s">
        <v>341</v>
      </c>
      <c r="F1135">
        <v>-50000</v>
      </c>
      <c r="G1135" t="s">
        <v>61</v>
      </c>
    </row>
    <row r="1136" spans="1:7" x14ac:dyDescent="0.3">
      <c r="A1136" s="42">
        <v>46034</v>
      </c>
      <c r="B1136" s="43">
        <v>0.77196759259259262</v>
      </c>
      <c r="C1136" t="s">
        <v>152</v>
      </c>
      <c r="D1136" t="s">
        <v>40</v>
      </c>
      <c r="E1136" t="s">
        <v>569</v>
      </c>
      <c r="F1136">
        <v>-3900</v>
      </c>
      <c r="G1136" t="s">
        <v>266</v>
      </c>
    </row>
    <row r="1137" spans="1:7" x14ac:dyDescent="0.3">
      <c r="A1137" s="42">
        <v>46034</v>
      </c>
      <c r="B1137" s="43">
        <v>0.67737268518518523</v>
      </c>
      <c r="C1137" t="s">
        <v>152</v>
      </c>
      <c r="D1137" t="s">
        <v>50</v>
      </c>
      <c r="E1137" t="s">
        <v>570</v>
      </c>
      <c r="F1137">
        <v>-10400</v>
      </c>
      <c r="G1137" t="s">
        <v>266</v>
      </c>
    </row>
    <row r="1138" spans="1:7" x14ac:dyDescent="0.3">
      <c r="A1138" s="42">
        <v>46034</v>
      </c>
      <c r="B1138" s="43">
        <v>0.67568287037037034</v>
      </c>
      <c r="C1138" t="s">
        <v>152</v>
      </c>
      <c r="D1138" t="s">
        <v>44</v>
      </c>
      <c r="E1138" t="s">
        <v>179</v>
      </c>
      <c r="F1138">
        <v>-34900</v>
      </c>
      <c r="G1138" t="s">
        <v>180</v>
      </c>
    </row>
    <row r="1139" spans="1:7" x14ac:dyDescent="0.3">
      <c r="A1139" s="42">
        <v>46034</v>
      </c>
      <c r="B1139" s="43">
        <v>0.4934722222222222</v>
      </c>
      <c r="C1139" t="s">
        <v>152</v>
      </c>
      <c r="D1139" t="s">
        <v>42</v>
      </c>
      <c r="E1139" t="s">
        <v>436</v>
      </c>
      <c r="F1139">
        <v>-5800</v>
      </c>
      <c r="G1139" t="s">
        <v>266</v>
      </c>
    </row>
    <row r="1140" spans="1:7" x14ac:dyDescent="0.3">
      <c r="A1140" s="42">
        <v>46034</v>
      </c>
      <c r="B1140" s="43">
        <v>0.45293981481481482</v>
      </c>
      <c r="C1140" t="s">
        <v>152</v>
      </c>
      <c r="D1140" t="s">
        <v>44</v>
      </c>
      <c r="E1140" t="s">
        <v>159</v>
      </c>
      <c r="F1140">
        <v>-8900</v>
      </c>
      <c r="G1140" t="s">
        <v>154</v>
      </c>
    </row>
    <row r="1141" spans="1:7" x14ac:dyDescent="0.3">
      <c r="A1141" s="42">
        <v>46034</v>
      </c>
      <c r="B1141" s="43">
        <v>0.42716435185185192</v>
      </c>
      <c r="C1141" t="s">
        <v>152</v>
      </c>
      <c r="D1141" t="s">
        <v>36</v>
      </c>
      <c r="E1141" t="s">
        <v>274</v>
      </c>
      <c r="F1141">
        <v>-250</v>
      </c>
      <c r="G1141" t="s">
        <v>161</v>
      </c>
    </row>
    <row r="1142" spans="1:7" x14ac:dyDescent="0.3">
      <c r="A1142" s="42">
        <v>46034</v>
      </c>
      <c r="B1142" s="43">
        <v>0.42716435185185192</v>
      </c>
      <c r="C1142" t="s">
        <v>152</v>
      </c>
      <c r="D1142" t="s">
        <v>36</v>
      </c>
      <c r="E1142" t="s">
        <v>243</v>
      </c>
      <c r="F1142">
        <v>-1500</v>
      </c>
      <c r="G1142" t="s">
        <v>161</v>
      </c>
    </row>
    <row r="1143" spans="1:7" x14ac:dyDescent="0.3">
      <c r="A1143" s="42">
        <v>46034</v>
      </c>
      <c r="B1143" s="43">
        <v>0.31748842592592591</v>
      </c>
      <c r="C1143" t="s">
        <v>152</v>
      </c>
      <c r="D1143" t="s">
        <v>40</v>
      </c>
      <c r="E1143" t="s">
        <v>571</v>
      </c>
      <c r="F1143">
        <v>-4300</v>
      </c>
      <c r="G1143" t="s">
        <v>154</v>
      </c>
    </row>
    <row r="1144" spans="1:7" x14ac:dyDescent="0.3">
      <c r="A1144" s="42">
        <v>46033</v>
      </c>
      <c r="B1144" s="43">
        <v>0.75755787037037037</v>
      </c>
      <c r="C1144" t="s">
        <v>152</v>
      </c>
      <c r="D1144" t="s">
        <v>40</v>
      </c>
      <c r="E1144" t="s">
        <v>572</v>
      </c>
      <c r="F1144">
        <v>-11000</v>
      </c>
      <c r="G1144" t="s">
        <v>154</v>
      </c>
    </row>
    <row r="1145" spans="1:7" x14ac:dyDescent="0.3">
      <c r="A1145" s="42">
        <v>46033</v>
      </c>
      <c r="B1145" s="43">
        <v>0.74842592592592594</v>
      </c>
      <c r="C1145" t="s">
        <v>152</v>
      </c>
      <c r="D1145" t="s">
        <v>49</v>
      </c>
      <c r="E1145" t="s">
        <v>573</v>
      </c>
      <c r="F1145">
        <v>-3000</v>
      </c>
      <c r="G1145" t="s">
        <v>154</v>
      </c>
    </row>
    <row r="1146" spans="1:7" x14ac:dyDescent="0.3">
      <c r="A1146" s="42">
        <v>46033</v>
      </c>
      <c r="B1146" s="43">
        <v>0.43520833333333331</v>
      </c>
      <c r="C1146" t="s">
        <v>152</v>
      </c>
      <c r="D1146" t="s">
        <v>36</v>
      </c>
      <c r="E1146" t="s">
        <v>274</v>
      </c>
      <c r="F1146">
        <v>-1750</v>
      </c>
      <c r="G1146" t="s">
        <v>161</v>
      </c>
    </row>
    <row r="1147" spans="1:7" x14ac:dyDescent="0.3">
      <c r="A1147" s="42">
        <v>46033</v>
      </c>
      <c r="B1147" s="43">
        <v>0.30164351851851851</v>
      </c>
      <c r="C1147" t="s">
        <v>152</v>
      </c>
      <c r="D1147" t="s">
        <v>36</v>
      </c>
      <c r="E1147" t="s">
        <v>250</v>
      </c>
      <c r="F1147">
        <v>-45700</v>
      </c>
      <c r="G1147" t="s">
        <v>266</v>
      </c>
    </row>
    <row r="1148" spans="1:7" x14ac:dyDescent="0.3">
      <c r="A1148" s="42">
        <v>46032</v>
      </c>
      <c r="B1148" s="43">
        <v>0.82335648148148144</v>
      </c>
      <c r="C1148" t="s">
        <v>155</v>
      </c>
      <c r="D1148" t="s">
        <v>155</v>
      </c>
      <c r="E1148" t="s">
        <v>317</v>
      </c>
      <c r="F1148">
        <v>-8000</v>
      </c>
      <c r="G1148" t="s">
        <v>158</v>
      </c>
    </row>
    <row r="1149" spans="1:7" x14ac:dyDescent="0.3">
      <c r="A1149" s="42">
        <v>46032</v>
      </c>
      <c r="B1149" s="43">
        <v>0.7683564814814815</v>
      </c>
      <c r="C1149" t="s">
        <v>152</v>
      </c>
      <c r="D1149" t="s">
        <v>47</v>
      </c>
      <c r="E1149" t="s">
        <v>574</v>
      </c>
      <c r="F1149">
        <v>-50000</v>
      </c>
      <c r="G1149" t="s">
        <v>154</v>
      </c>
    </row>
    <row r="1150" spans="1:7" x14ac:dyDescent="0.3">
      <c r="A1150" s="42">
        <v>46032</v>
      </c>
      <c r="B1150" s="43">
        <v>0.58061342592592591</v>
      </c>
      <c r="C1150" t="s">
        <v>152</v>
      </c>
      <c r="D1150" t="s">
        <v>38</v>
      </c>
      <c r="E1150" t="s">
        <v>575</v>
      </c>
      <c r="F1150">
        <v>-57000</v>
      </c>
      <c r="G1150" t="s">
        <v>154</v>
      </c>
    </row>
    <row r="1151" spans="1:7" x14ac:dyDescent="0.3">
      <c r="A1151" s="42">
        <v>46032</v>
      </c>
      <c r="B1151" s="43">
        <v>0.43145833333333328</v>
      </c>
      <c r="C1151" t="s">
        <v>152</v>
      </c>
      <c r="D1151" t="s">
        <v>36</v>
      </c>
      <c r="E1151" t="s">
        <v>243</v>
      </c>
      <c r="F1151">
        <v>-1500</v>
      </c>
      <c r="G1151" t="s">
        <v>161</v>
      </c>
    </row>
    <row r="1152" spans="1:7" x14ac:dyDescent="0.3">
      <c r="A1152" s="42">
        <v>46032</v>
      </c>
      <c r="B1152" s="43">
        <v>0.43145833333333328</v>
      </c>
      <c r="C1152" t="s">
        <v>152</v>
      </c>
      <c r="D1152" t="s">
        <v>36</v>
      </c>
      <c r="E1152" t="s">
        <v>244</v>
      </c>
      <c r="F1152">
        <v>-3500</v>
      </c>
      <c r="G1152" t="s">
        <v>161</v>
      </c>
    </row>
    <row r="1153" spans="1:7" x14ac:dyDescent="0.3">
      <c r="A1153" s="42">
        <v>46032</v>
      </c>
      <c r="B1153" s="43">
        <v>0</v>
      </c>
      <c r="C1153" t="s">
        <v>152</v>
      </c>
      <c r="D1153" t="s">
        <v>43</v>
      </c>
      <c r="E1153" t="s">
        <v>384</v>
      </c>
      <c r="F1153">
        <v>1851662</v>
      </c>
      <c r="G1153" t="s">
        <v>180</v>
      </c>
    </row>
    <row r="1154" spans="1:7" x14ac:dyDescent="0.3">
      <c r="A1154" s="42">
        <v>46031</v>
      </c>
      <c r="B1154" s="43">
        <v>0.81055555555555558</v>
      </c>
      <c r="C1154" t="s">
        <v>152</v>
      </c>
      <c r="D1154" t="s">
        <v>43</v>
      </c>
      <c r="E1154" t="s">
        <v>384</v>
      </c>
      <c r="F1154">
        <v>-325583</v>
      </c>
      <c r="G1154" t="s">
        <v>180</v>
      </c>
    </row>
    <row r="1155" spans="1:7" x14ac:dyDescent="0.3">
      <c r="A1155" s="42">
        <v>46031</v>
      </c>
      <c r="B1155" s="43">
        <v>0.76548611111111109</v>
      </c>
      <c r="C1155" t="s">
        <v>152</v>
      </c>
      <c r="D1155" t="s">
        <v>43</v>
      </c>
      <c r="E1155" t="s">
        <v>576</v>
      </c>
      <c r="F1155">
        <v>-10000</v>
      </c>
      <c r="G1155" t="s">
        <v>266</v>
      </c>
    </row>
    <row r="1156" spans="1:7" x14ac:dyDescent="0.3">
      <c r="A1156" s="42">
        <v>46031</v>
      </c>
      <c r="B1156" s="43">
        <v>0.76547453703703705</v>
      </c>
      <c r="C1156" t="s">
        <v>152</v>
      </c>
      <c r="D1156" t="s">
        <v>43</v>
      </c>
      <c r="E1156" t="s">
        <v>576</v>
      </c>
      <c r="F1156">
        <v>-10000</v>
      </c>
      <c r="G1156" t="s">
        <v>504</v>
      </c>
    </row>
    <row r="1157" spans="1:7" x14ac:dyDescent="0.3">
      <c r="A1157" s="42">
        <v>46031</v>
      </c>
      <c r="B1157" s="43">
        <v>0.76547453703703705</v>
      </c>
      <c r="C1157" t="s">
        <v>152</v>
      </c>
      <c r="D1157" t="s">
        <v>43</v>
      </c>
      <c r="E1157" t="s">
        <v>576</v>
      </c>
      <c r="F1157">
        <v>-10000</v>
      </c>
      <c r="G1157" t="s">
        <v>266</v>
      </c>
    </row>
    <row r="1158" spans="1:7" x14ac:dyDescent="0.3">
      <c r="A1158" s="42">
        <v>46031</v>
      </c>
      <c r="B1158" s="43">
        <v>0.76539351851851856</v>
      </c>
      <c r="C1158" t="s">
        <v>152</v>
      </c>
      <c r="D1158" t="s">
        <v>43</v>
      </c>
      <c r="E1158" t="s">
        <v>527</v>
      </c>
      <c r="F1158">
        <v>-62000</v>
      </c>
      <c r="G1158" t="s">
        <v>504</v>
      </c>
    </row>
    <row r="1159" spans="1:7" x14ac:dyDescent="0.3">
      <c r="A1159" s="42">
        <v>46031</v>
      </c>
      <c r="B1159" s="43">
        <v>0.76538194444444441</v>
      </c>
      <c r="C1159" t="s">
        <v>152</v>
      </c>
      <c r="D1159" t="s">
        <v>43</v>
      </c>
      <c r="E1159" t="s">
        <v>527</v>
      </c>
      <c r="F1159">
        <v>-630700</v>
      </c>
      <c r="G1159" t="s">
        <v>266</v>
      </c>
    </row>
    <row r="1160" spans="1:7" x14ac:dyDescent="0.3">
      <c r="A1160" s="42">
        <v>46031</v>
      </c>
      <c r="B1160" s="43">
        <v>0.76537037037037037</v>
      </c>
      <c r="C1160" t="s">
        <v>152</v>
      </c>
      <c r="D1160" t="s">
        <v>43</v>
      </c>
      <c r="E1160" t="s">
        <v>527</v>
      </c>
      <c r="F1160">
        <v>-630700</v>
      </c>
      <c r="G1160" t="s">
        <v>504</v>
      </c>
    </row>
    <row r="1161" spans="1:7" x14ac:dyDescent="0.3">
      <c r="A1161" s="42">
        <v>46031</v>
      </c>
      <c r="B1161" s="43">
        <v>0.76537037037037037</v>
      </c>
      <c r="C1161" t="s">
        <v>152</v>
      </c>
      <c r="D1161" t="s">
        <v>43</v>
      </c>
      <c r="E1161" t="s">
        <v>527</v>
      </c>
      <c r="F1161">
        <v>-630700</v>
      </c>
      <c r="G1161" t="s">
        <v>266</v>
      </c>
    </row>
    <row r="1162" spans="1:7" x14ac:dyDescent="0.3">
      <c r="A1162" s="42">
        <v>46031</v>
      </c>
      <c r="B1162" s="43">
        <v>0.6124074074074074</v>
      </c>
      <c r="C1162" t="s">
        <v>176</v>
      </c>
      <c r="D1162" t="s">
        <v>32</v>
      </c>
      <c r="E1162" t="s">
        <v>177</v>
      </c>
      <c r="F1162">
        <v>443300</v>
      </c>
      <c r="G1162" t="s">
        <v>61</v>
      </c>
    </row>
    <row r="1163" spans="1:7" x14ac:dyDescent="0.3">
      <c r="A1163" s="42">
        <v>46031</v>
      </c>
      <c r="B1163" s="43">
        <v>0.43630787037037039</v>
      </c>
      <c r="C1163" t="s">
        <v>152</v>
      </c>
      <c r="D1163" t="s">
        <v>36</v>
      </c>
      <c r="E1163" t="s">
        <v>226</v>
      </c>
      <c r="F1163">
        <v>-1600</v>
      </c>
      <c r="G1163" t="s">
        <v>161</v>
      </c>
    </row>
    <row r="1164" spans="1:7" x14ac:dyDescent="0.3">
      <c r="A1164" s="42">
        <v>46031</v>
      </c>
      <c r="B1164" s="43">
        <v>0.43630787037037039</v>
      </c>
      <c r="C1164" t="s">
        <v>152</v>
      </c>
      <c r="D1164" t="s">
        <v>36</v>
      </c>
      <c r="E1164" t="s">
        <v>244</v>
      </c>
      <c r="F1164">
        <v>-1900</v>
      </c>
      <c r="G1164" t="s">
        <v>161</v>
      </c>
    </row>
    <row r="1165" spans="1:7" x14ac:dyDescent="0.3">
      <c r="A1165" s="42">
        <v>46031</v>
      </c>
      <c r="B1165" s="43">
        <v>0.42305555555555557</v>
      </c>
      <c r="C1165" t="s">
        <v>155</v>
      </c>
      <c r="D1165" t="s">
        <v>155</v>
      </c>
      <c r="E1165" t="s">
        <v>577</v>
      </c>
      <c r="F1165">
        <v>150000</v>
      </c>
      <c r="G1165" t="s">
        <v>158</v>
      </c>
    </row>
    <row r="1166" spans="1:7" x14ac:dyDescent="0.3">
      <c r="A1166" s="42">
        <v>46031</v>
      </c>
      <c r="B1166" s="43">
        <v>0.42116898148148152</v>
      </c>
      <c r="C1166" t="s">
        <v>155</v>
      </c>
      <c r="D1166" t="s">
        <v>163</v>
      </c>
      <c r="E1166" t="s">
        <v>530</v>
      </c>
      <c r="F1166">
        <v>-1000000</v>
      </c>
      <c r="G1166" t="s">
        <v>66</v>
      </c>
    </row>
    <row r="1167" spans="1:7" x14ac:dyDescent="0.3">
      <c r="A1167" s="42">
        <v>46031</v>
      </c>
      <c r="B1167" s="43">
        <v>0.42116898148148152</v>
      </c>
      <c r="C1167" t="s">
        <v>155</v>
      </c>
      <c r="D1167" t="s">
        <v>163</v>
      </c>
      <c r="E1167" t="s">
        <v>7</v>
      </c>
      <c r="F1167">
        <v>1000000</v>
      </c>
      <c r="G1167" t="s">
        <v>61</v>
      </c>
    </row>
    <row r="1168" spans="1:7" x14ac:dyDescent="0.3">
      <c r="A1168" s="42">
        <v>46031</v>
      </c>
      <c r="B1168" s="43">
        <v>4.2372685185185187E-2</v>
      </c>
      <c r="C1168" t="s">
        <v>152</v>
      </c>
      <c r="D1168" t="s">
        <v>48</v>
      </c>
      <c r="E1168" t="s">
        <v>311</v>
      </c>
      <c r="F1168">
        <v>-32820</v>
      </c>
      <c r="G1168" t="s">
        <v>154</v>
      </c>
    </row>
    <row r="1169" spans="1:7" x14ac:dyDescent="0.3">
      <c r="A1169" s="42">
        <v>46031</v>
      </c>
      <c r="B1169" s="43">
        <v>4.2372685185185187E-2</v>
      </c>
      <c r="C1169" t="s">
        <v>152</v>
      </c>
      <c r="D1169" t="s">
        <v>48</v>
      </c>
      <c r="E1169" t="s">
        <v>311</v>
      </c>
      <c r="F1169">
        <v>-39930</v>
      </c>
      <c r="G1169" t="s">
        <v>154</v>
      </c>
    </row>
    <row r="1170" spans="1:7" x14ac:dyDescent="0.3">
      <c r="A1170" s="42">
        <v>46031</v>
      </c>
      <c r="B1170" s="43">
        <v>0</v>
      </c>
      <c r="C1170" t="s">
        <v>152</v>
      </c>
      <c r="D1170" t="s">
        <v>43</v>
      </c>
      <c r="E1170" t="s">
        <v>384</v>
      </c>
      <c r="F1170">
        <v>1561312</v>
      </c>
      <c r="G1170" t="s">
        <v>180</v>
      </c>
    </row>
    <row r="1171" spans="1:7" x14ac:dyDescent="0.3">
      <c r="A1171" s="42">
        <v>46030</v>
      </c>
      <c r="B1171" s="43">
        <v>0.85871527777777779</v>
      </c>
      <c r="C1171" t="s">
        <v>152</v>
      </c>
      <c r="D1171" t="s">
        <v>44</v>
      </c>
      <c r="E1171" t="s">
        <v>536</v>
      </c>
      <c r="F1171">
        <v>-119200</v>
      </c>
      <c r="G1171" t="s">
        <v>154</v>
      </c>
    </row>
    <row r="1172" spans="1:7" x14ac:dyDescent="0.3">
      <c r="A1172" s="42">
        <v>46030</v>
      </c>
      <c r="B1172" s="43">
        <v>0.72996527777777775</v>
      </c>
      <c r="C1172" t="s">
        <v>152</v>
      </c>
      <c r="D1172" t="s">
        <v>50</v>
      </c>
      <c r="E1172" t="s">
        <v>325</v>
      </c>
      <c r="F1172">
        <v>-1851662</v>
      </c>
      <c r="G1172" t="s">
        <v>182</v>
      </c>
    </row>
    <row r="1173" spans="1:7" x14ac:dyDescent="0.3">
      <c r="A1173" s="42">
        <v>46030</v>
      </c>
      <c r="B1173" s="43">
        <v>0.51774305555555555</v>
      </c>
      <c r="C1173" t="s">
        <v>152</v>
      </c>
      <c r="D1173" t="s">
        <v>49</v>
      </c>
      <c r="E1173" t="s">
        <v>578</v>
      </c>
      <c r="F1173">
        <v>-3000</v>
      </c>
      <c r="G1173" t="s">
        <v>186</v>
      </c>
    </row>
    <row r="1174" spans="1:7" x14ac:dyDescent="0.3">
      <c r="A1174" s="42">
        <v>46030</v>
      </c>
      <c r="B1174" s="43">
        <v>0.4995486111111111</v>
      </c>
      <c r="C1174" t="s">
        <v>152</v>
      </c>
      <c r="D1174" t="s">
        <v>49</v>
      </c>
      <c r="E1174" t="s">
        <v>578</v>
      </c>
      <c r="F1174">
        <v>-11000</v>
      </c>
      <c r="G1174" t="s">
        <v>186</v>
      </c>
    </row>
    <row r="1175" spans="1:7" x14ac:dyDescent="0.3">
      <c r="A1175" s="42">
        <v>46030</v>
      </c>
      <c r="B1175" s="43">
        <v>0.42131944444444452</v>
      </c>
      <c r="C1175" t="s">
        <v>152</v>
      </c>
      <c r="D1175" t="s">
        <v>36</v>
      </c>
      <c r="E1175" t="s">
        <v>243</v>
      </c>
      <c r="F1175">
        <v>-1500</v>
      </c>
      <c r="G1175" t="s">
        <v>161</v>
      </c>
    </row>
    <row r="1176" spans="1:7" x14ac:dyDescent="0.3">
      <c r="A1176" s="42">
        <v>46030</v>
      </c>
      <c r="B1176" s="43">
        <v>0.42131944444444452</v>
      </c>
      <c r="C1176" t="s">
        <v>152</v>
      </c>
      <c r="D1176" t="s">
        <v>36</v>
      </c>
      <c r="E1176" t="s">
        <v>244</v>
      </c>
      <c r="F1176">
        <v>-2000</v>
      </c>
      <c r="G1176" t="s">
        <v>161</v>
      </c>
    </row>
    <row r="1177" spans="1:7" x14ac:dyDescent="0.3">
      <c r="A1177" s="42">
        <v>46029</v>
      </c>
      <c r="B1177" s="43">
        <v>0.98856481481481484</v>
      </c>
      <c r="C1177" t="s">
        <v>152</v>
      </c>
      <c r="D1177" t="s">
        <v>43</v>
      </c>
      <c r="E1177" t="s">
        <v>384</v>
      </c>
      <c r="F1177">
        <v>-1561312</v>
      </c>
      <c r="G1177" t="s">
        <v>180</v>
      </c>
    </row>
    <row r="1178" spans="1:7" x14ac:dyDescent="0.3">
      <c r="A1178" s="42">
        <v>46029</v>
      </c>
      <c r="B1178" s="43">
        <v>0.85349537037037038</v>
      </c>
      <c r="C1178" t="s">
        <v>155</v>
      </c>
      <c r="D1178" t="s">
        <v>163</v>
      </c>
      <c r="E1178" t="s">
        <v>579</v>
      </c>
      <c r="F1178">
        <v>-17558</v>
      </c>
      <c r="G1178" t="s">
        <v>61</v>
      </c>
    </row>
    <row r="1179" spans="1:7" x14ac:dyDescent="0.3">
      <c r="A1179" s="42">
        <v>46028</v>
      </c>
      <c r="B1179" s="43">
        <v>0.92839120370370365</v>
      </c>
      <c r="C1179" t="s">
        <v>152</v>
      </c>
      <c r="D1179" t="s">
        <v>38</v>
      </c>
      <c r="E1179" t="s">
        <v>441</v>
      </c>
      <c r="F1179">
        <v>-2800</v>
      </c>
      <c r="G1179" t="s">
        <v>186</v>
      </c>
    </row>
    <row r="1180" spans="1:7" x14ac:dyDescent="0.3">
      <c r="A1180" s="42">
        <v>46028</v>
      </c>
      <c r="B1180" s="43">
        <v>0.61685185185185187</v>
      </c>
      <c r="C1180" t="s">
        <v>152</v>
      </c>
      <c r="D1180" t="s">
        <v>50</v>
      </c>
      <c r="E1180" t="s">
        <v>184</v>
      </c>
      <c r="F1180">
        <v>-3200</v>
      </c>
      <c r="G1180" t="s">
        <v>186</v>
      </c>
    </row>
    <row r="1181" spans="1:7" x14ac:dyDescent="0.3">
      <c r="A1181" s="42">
        <v>46028</v>
      </c>
      <c r="B1181" s="43">
        <v>0.55770833333333336</v>
      </c>
      <c r="C1181" t="s">
        <v>152</v>
      </c>
      <c r="D1181" t="s">
        <v>50</v>
      </c>
      <c r="E1181" t="s">
        <v>580</v>
      </c>
      <c r="F1181">
        <v>-5800</v>
      </c>
      <c r="G1181" t="s">
        <v>199</v>
      </c>
    </row>
    <row r="1182" spans="1:7" x14ac:dyDescent="0.3">
      <c r="A1182" s="42">
        <v>46028</v>
      </c>
      <c r="B1182" s="43">
        <v>0.35958333333333331</v>
      </c>
      <c r="C1182" t="s">
        <v>152</v>
      </c>
      <c r="D1182" t="s">
        <v>49</v>
      </c>
      <c r="E1182" t="s">
        <v>367</v>
      </c>
      <c r="F1182">
        <v>-300</v>
      </c>
      <c r="G1182" t="s">
        <v>186</v>
      </c>
    </row>
    <row r="1183" spans="1:7" x14ac:dyDescent="0.3">
      <c r="A1183" s="42">
        <v>46027</v>
      </c>
      <c r="B1183" s="43">
        <v>0.85865740740740737</v>
      </c>
      <c r="C1183" t="s">
        <v>152</v>
      </c>
      <c r="D1183" t="s">
        <v>38</v>
      </c>
      <c r="E1183" t="s">
        <v>581</v>
      </c>
      <c r="F1183">
        <v>-100000</v>
      </c>
      <c r="G1183" t="s">
        <v>60</v>
      </c>
    </row>
    <row r="1184" spans="1:7" x14ac:dyDescent="0.3">
      <c r="A1184" s="42">
        <v>46027</v>
      </c>
      <c r="B1184" s="43">
        <v>0.74600694444444449</v>
      </c>
      <c r="C1184" t="s">
        <v>155</v>
      </c>
      <c r="D1184" t="s">
        <v>155</v>
      </c>
      <c r="E1184" t="s">
        <v>210</v>
      </c>
      <c r="F1184">
        <v>213000</v>
      </c>
      <c r="G1184" t="s">
        <v>60</v>
      </c>
    </row>
    <row r="1185" spans="1:7" x14ac:dyDescent="0.3">
      <c r="A1185" s="42">
        <v>46026</v>
      </c>
      <c r="B1185" s="43">
        <v>0.56693287037037032</v>
      </c>
      <c r="C1185" t="s">
        <v>152</v>
      </c>
      <c r="D1185" t="s">
        <v>34</v>
      </c>
      <c r="E1185" t="s">
        <v>582</v>
      </c>
      <c r="F1185">
        <v>-6000</v>
      </c>
      <c r="G1185" t="s">
        <v>186</v>
      </c>
    </row>
    <row r="1186" spans="1:7" x14ac:dyDescent="0.3">
      <c r="A1186" s="42">
        <v>46026</v>
      </c>
      <c r="B1186" s="43">
        <v>0.48569444444444437</v>
      </c>
      <c r="C1186" t="s">
        <v>152</v>
      </c>
      <c r="D1186" t="s">
        <v>47</v>
      </c>
      <c r="E1186" t="s">
        <v>583</v>
      </c>
      <c r="F1186">
        <v>-24500</v>
      </c>
      <c r="G1186" t="s">
        <v>186</v>
      </c>
    </row>
    <row r="1187" spans="1:7" x14ac:dyDescent="0.3">
      <c r="A1187" s="42">
        <v>46026</v>
      </c>
      <c r="B1187" s="43">
        <v>0.46925925925925932</v>
      </c>
      <c r="C1187" t="s">
        <v>152</v>
      </c>
      <c r="D1187" t="s">
        <v>46</v>
      </c>
      <c r="E1187" t="s">
        <v>584</v>
      </c>
      <c r="F1187">
        <v>-10000</v>
      </c>
      <c r="G1187" t="s">
        <v>186</v>
      </c>
    </row>
    <row r="1188" spans="1:7" x14ac:dyDescent="0.3">
      <c r="A1188" s="42">
        <v>46025</v>
      </c>
      <c r="B1188" s="43">
        <v>0.67873842592592593</v>
      </c>
      <c r="C1188" t="s">
        <v>152</v>
      </c>
      <c r="D1188" t="s">
        <v>44</v>
      </c>
      <c r="E1188" t="s">
        <v>375</v>
      </c>
      <c r="F1188">
        <v>-13490</v>
      </c>
      <c r="G1188" t="s">
        <v>266</v>
      </c>
    </row>
    <row r="1189" spans="1:7" x14ac:dyDescent="0.3">
      <c r="A1189" s="42">
        <v>46025</v>
      </c>
      <c r="B1189" s="43">
        <v>0.62170138888888893</v>
      </c>
      <c r="C1189" t="s">
        <v>152</v>
      </c>
      <c r="D1189" t="s">
        <v>37</v>
      </c>
      <c r="E1189" t="s">
        <v>165</v>
      </c>
      <c r="F1189">
        <v>-25000</v>
      </c>
      <c r="G1189" t="s">
        <v>158</v>
      </c>
    </row>
    <row r="1190" spans="1:7" x14ac:dyDescent="0.3">
      <c r="A1190" s="42">
        <v>46025</v>
      </c>
      <c r="B1190" s="43">
        <v>0.46729166666666672</v>
      </c>
      <c r="C1190" t="s">
        <v>152</v>
      </c>
      <c r="D1190" t="s">
        <v>35</v>
      </c>
      <c r="E1190" t="s">
        <v>585</v>
      </c>
      <c r="F1190">
        <v>-50000</v>
      </c>
      <c r="G1190" t="s">
        <v>186</v>
      </c>
    </row>
    <row r="1191" spans="1:7" x14ac:dyDescent="0.3">
      <c r="A1191" s="42">
        <v>46025</v>
      </c>
      <c r="B1191" s="43">
        <v>0.46356481481481482</v>
      </c>
      <c r="C1191" t="s">
        <v>152</v>
      </c>
      <c r="D1191" t="s">
        <v>40</v>
      </c>
      <c r="E1191" t="s">
        <v>586</v>
      </c>
      <c r="F1191">
        <v>-3400</v>
      </c>
      <c r="G1191" t="s">
        <v>186</v>
      </c>
    </row>
    <row r="1192" spans="1:7" x14ac:dyDescent="0.3">
      <c r="A1192" s="42">
        <v>46024</v>
      </c>
      <c r="B1192" s="43">
        <v>0.80289351851851853</v>
      </c>
      <c r="C1192" t="s">
        <v>155</v>
      </c>
      <c r="D1192" t="s">
        <v>213</v>
      </c>
      <c r="E1192" t="s">
        <v>214</v>
      </c>
      <c r="F1192">
        <v>-58080</v>
      </c>
      <c r="G1192" t="s">
        <v>61</v>
      </c>
    </row>
    <row r="1193" spans="1:7" x14ac:dyDescent="0.3">
      <c r="A1193" s="42">
        <v>46024</v>
      </c>
      <c r="B1193" s="43">
        <v>0.65461805555555552</v>
      </c>
      <c r="C1193" t="s">
        <v>152</v>
      </c>
      <c r="D1193" t="s">
        <v>44</v>
      </c>
      <c r="E1193" t="s">
        <v>383</v>
      </c>
      <c r="F1193">
        <v>-20000</v>
      </c>
      <c r="G1193" t="s">
        <v>236</v>
      </c>
    </row>
    <row r="1194" spans="1:7" x14ac:dyDescent="0.3">
      <c r="A1194" s="42">
        <v>46024</v>
      </c>
      <c r="B1194" s="43">
        <v>0.42274305555555558</v>
      </c>
      <c r="C1194" t="s">
        <v>152</v>
      </c>
      <c r="D1194" t="s">
        <v>36</v>
      </c>
      <c r="E1194" t="s">
        <v>243</v>
      </c>
      <c r="F1194">
        <v>-1500</v>
      </c>
      <c r="G1194" t="s">
        <v>161</v>
      </c>
    </row>
    <row r="1195" spans="1:7" x14ac:dyDescent="0.3">
      <c r="A1195" s="42">
        <v>46024</v>
      </c>
      <c r="B1195" s="43">
        <v>0.42273148148148149</v>
      </c>
      <c r="C1195" t="s">
        <v>152</v>
      </c>
      <c r="D1195" t="s">
        <v>36</v>
      </c>
      <c r="E1195" t="s">
        <v>244</v>
      </c>
      <c r="F1195">
        <v>-1900</v>
      </c>
      <c r="G1195" t="s">
        <v>161</v>
      </c>
    </row>
    <row r="1196" spans="1:7" x14ac:dyDescent="0.3">
      <c r="A1196" s="42">
        <v>46024</v>
      </c>
      <c r="B1196" s="43">
        <v>0</v>
      </c>
      <c r="C1196" t="s">
        <v>152</v>
      </c>
      <c r="D1196" t="s">
        <v>37</v>
      </c>
      <c r="E1196" t="s">
        <v>498</v>
      </c>
      <c r="F1196">
        <v>11000</v>
      </c>
      <c r="G1196" t="s">
        <v>266</v>
      </c>
    </row>
    <row r="1197" spans="1:7" x14ac:dyDescent="0.3">
      <c r="A1197" s="42">
        <v>46023</v>
      </c>
      <c r="B1197" s="43">
        <v>0.88692129629629635</v>
      </c>
      <c r="C1197" t="s">
        <v>155</v>
      </c>
      <c r="D1197" t="s">
        <v>155</v>
      </c>
      <c r="E1197" t="s">
        <v>587</v>
      </c>
      <c r="F1197">
        <v>5500</v>
      </c>
      <c r="G1197" t="s">
        <v>61</v>
      </c>
    </row>
    <row r="1198" spans="1:7" x14ac:dyDescent="0.3">
      <c r="A1198" s="42">
        <v>46023</v>
      </c>
      <c r="B1198" s="43">
        <v>0.84759259259259256</v>
      </c>
      <c r="C1198" t="s">
        <v>155</v>
      </c>
      <c r="D1198" t="s">
        <v>155</v>
      </c>
      <c r="E1198" t="s">
        <v>277</v>
      </c>
      <c r="F1198">
        <v>2834000</v>
      </c>
      <c r="G1198" t="s">
        <v>67</v>
      </c>
    </row>
    <row r="1199" spans="1:7" x14ac:dyDescent="0.3">
      <c r="A1199" s="42">
        <v>46023</v>
      </c>
      <c r="B1199" s="43">
        <v>0.65575231481481477</v>
      </c>
      <c r="C1199" t="s">
        <v>152</v>
      </c>
      <c r="D1199" t="s">
        <v>37</v>
      </c>
      <c r="E1199" t="s">
        <v>482</v>
      </c>
      <c r="F1199">
        <v>-11000</v>
      </c>
      <c r="G1199" t="s">
        <v>186</v>
      </c>
    </row>
    <row r="1200" spans="1:7" x14ac:dyDescent="0.3">
      <c r="A1200" s="42">
        <v>46023</v>
      </c>
      <c r="B1200" s="43">
        <v>0.48638888888888893</v>
      </c>
      <c r="C1200" t="s">
        <v>152</v>
      </c>
      <c r="D1200" t="s">
        <v>49</v>
      </c>
      <c r="E1200" t="s">
        <v>338</v>
      </c>
      <c r="F1200">
        <v>-16800</v>
      </c>
      <c r="G1200" t="s">
        <v>154</v>
      </c>
    </row>
    <row r="1201" spans="1:7" x14ac:dyDescent="0.3">
      <c r="A1201" s="42">
        <v>46023</v>
      </c>
      <c r="B1201" s="43">
        <v>0.42805555555555558</v>
      </c>
      <c r="C1201" t="s">
        <v>152</v>
      </c>
      <c r="D1201" t="s">
        <v>36</v>
      </c>
      <c r="E1201" t="s">
        <v>226</v>
      </c>
      <c r="F1201">
        <v>-1600</v>
      </c>
      <c r="G1201" t="s">
        <v>161</v>
      </c>
    </row>
    <row r="1202" spans="1:7" x14ac:dyDescent="0.3">
      <c r="A1202" s="42">
        <v>46023</v>
      </c>
      <c r="B1202" s="43">
        <v>0.42805555555555558</v>
      </c>
      <c r="C1202" t="s">
        <v>152</v>
      </c>
      <c r="D1202" t="s">
        <v>36</v>
      </c>
      <c r="E1202" t="s">
        <v>244</v>
      </c>
      <c r="F1202">
        <v>-1900</v>
      </c>
      <c r="G1202" t="s">
        <v>161</v>
      </c>
    </row>
    <row r="1203" spans="1:7" x14ac:dyDescent="0.3">
      <c r="A1203" s="42">
        <v>46023</v>
      </c>
      <c r="B1203" s="43">
        <v>0</v>
      </c>
      <c r="C1203" t="s">
        <v>152</v>
      </c>
      <c r="D1203" t="s">
        <v>37</v>
      </c>
      <c r="E1203" t="s">
        <v>498</v>
      </c>
      <c r="F1203">
        <v>14300</v>
      </c>
      <c r="G1203" t="s">
        <v>266</v>
      </c>
    </row>
    <row r="1204" spans="1:7" x14ac:dyDescent="0.3">
      <c r="A1204" s="42">
        <v>46022</v>
      </c>
      <c r="B1204" s="43">
        <v>0.67975694444444446</v>
      </c>
      <c r="C1204" t="s">
        <v>152</v>
      </c>
      <c r="D1204" t="s">
        <v>42</v>
      </c>
      <c r="E1204" t="s">
        <v>392</v>
      </c>
      <c r="F1204">
        <v>-81320</v>
      </c>
      <c r="G1204" t="s">
        <v>266</v>
      </c>
    </row>
    <row r="1205" spans="1:7" x14ac:dyDescent="0.3">
      <c r="A1205" s="42">
        <v>46022</v>
      </c>
      <c r="B1205" s="43">
        <v>0.65315972222222218</v>
      </c>
      <c r="C1205" t="s">
        <v>152</v>
      </c>
      <c r="D1205" t="s">
        <v>50</v>
      </c>
      <c r="E1205" t="s">
        <v>588</v>
      </c>
      <c r="F1205">
        <v>-20000</v>
      </c>
      <c r="G1205" t="s">
        <v>266</v>
      </c>
    </row>
    <row r="1206" spans="1:7" x14ac:dyDescent="0.3">
      <c r="A1206" s="42">
        <v>46022</v>
      </c>
      <c r="B1206" s="43">
        <v>0.43563657407407408</v>
      </c>
      <c r="C1206" t="s">
        <v>152</v>
      </c>
      <c r="D1206" t="s">
        <v>37</v>
      </c>
      <c r="E1206" t="s">
        <v>498</v>
      </c>
      <c r="F1206">
        <v>-11000</v>
      </c>
      <c r="G1206" t="s">
        <v>266</v>
      </c>
    </row>
    <row r="1207" spans="1:7" x14ac:dyDescent="0.3">
      <c r="A1207" s="42">
        <v>46021</v>
      </c>
      <c r="B1207" s="43">
        <v>0.83341435185185186</v>
      </c>
      <c r="C1207" t="s">
        <v>152</v>
      </c>
      <c r="D1207" t="s">
        <v>37</v>
      </c>
      <c r="E1207" t="s">
        <v>498</v>
      </c>
      <c r="F1207">
        <v>-14300</v>
      </c>
      <c r="G1207" t="s">
        <v>266</v>
      </c>
    </row>
    <row r="1208" spans="1:7" x14ac:dyDescent="0.3">
      <c r="A1208" s="42">
        <v>46021</v>
      </c>
      <c r="B1208" s="43">
        <v>0.81289351851851854</v>
      </c>
      <c r="C1208" t="s">
        <v>152</v>
      </c>
      <c r="D1208" t="s">
        <v>38</v>
      </c>
      <c r="E1208" t="s">
        <v>589</v>
      </c>
      <c r="F1208">
        <v>-150500</v>
      </c>
      <c r="G1208" t="s">
        <v>186</v>
      </c>
    </row>
    <row r="1209" spans="1:7" x14ac:dyDescent="0.3">
      <c r="A1209" s="42">
        <v>46021</v>
      </c>
      <c r="B1209" s="43">
        <v>0.81194444444444447</v>
      </c>
      <c r="C1209" t="s">
        <v>152</v>
      </c>
      <c r="D1209" t="s">
        <v>38</v>
      </c>
      <c r="E1209" t="s">
        <v>589</v>
      </c>
      <c r="F1209">
        <v>-150500</v>
      </c>
      <c r="G1209" t="s">
        <v>186</v>
      </c>
    </row>
    <row r="1210" spans="1:7" x14ac:dyDescent="0.3">
      <c r="A1210" s="42">
        <v>46021</v>
      </c>
      <c r="B1210" s="43">
        <v>0.49729166666666669</v>
      </c>
      <c r="C1210" t="s">
        <v>152</v>
      </c>
      <c r="D1210" t="s">
        <v>43</v>
      </c>
      <c r="E1210" t="s">
        <v>590</v>
      </c>
      <c r="F1210">
        <v>-30000</v>
      </c>
      <c r="G1210" t="s">
        <v>266</v>
      </c>
    </row>
    <row r="1211" spans="1:7" x14ac:dyDescent="0.3">
      <c r="A1211" s="42">
        <v>46021</v>
      </c>
      <c r="B1211" s="43">
        <v>0.49197916666666669</v>
      </c>
      <c r="C1211" t="s">
        <v>152</v>
      </c>
      <c r="D1211" t="s">
        <v>43</v>
      </c>
      <c r="E1211" t="s">
        <v>590</v>
      </c>
      <c r="F1211">
        <v>-50000</v>
      </c>
      <c r="G1211" t="s">
        <v>504</v>
      </c>
    </row>
    <row r="1212" spans="1:7" x14ac:dyDescent="0.3">
      <c r="A1212" s="42">
        <v>46021</v>
      </c>
      <c r="B1212" s="43">
        <v>0.47622685185185187</v>
      </c>
      <c r="C1212" t="s">
        <v>152</v>
      </c>
      <c r="D1212" t="s">
        <v>45</v>
      </c>
      <c r="E1212" t="s">
        <v>591</v>
      </c>
      <c r="F1212">
        <v>-28900</v>
      </c>
      <c r="G1212" t="s">
        <v>199</v>
      </c>
    </row>
    <row r="1213" spans="1:7" x14ac:dyDescent="0.3">
      <c r="A1213" s="42">
        <v>46020</v>
      </c>
      <c r="B1213" s="43">
        <v>0.74336805555555552</v>
      </c>
      <c r="C1213" t="s">
        <v>152</v>
      </c>
      <c r="D1213" t="s">
        <v>40</v>
      </c>
      <c r="E1213" t="s">
        <v>389</v>
      </c>
      <c r="F1213">
        <v>-200</v>
      </c>
      <c r="G1213" t="s">
        <v>266</v>
      </c>
    </row>
    <row r="1214" spans="1:7" x14ac:dyDescent="0.3">
      <c r="A1214" s="42">
        <v>46020</v>
      </c>
      <c r="B1214" s="43">
        <v>0.74335648148148148</v>
      </c>
      <c r="C1214" t="s">
        <v>152</v>
      </c>
      <c r="D1214" t="s">
        <v>40</v>
      </c>
      <c r="E1214" t="s">
        <v>389</v>
      </c>
      <c r="F1214">
        <v>-7840</v>
      </c>
      <c r="G1214" t="s">
        <v>266</v>
      </c>
    </row>
    <row r="1215" spans="1:7" x14ac:dyDescent="0.3">
      <c r="A1215" s="42">
        <v>46020</v>
      </c>
      <c r="B1215" s="43">
        <v>0.67207175925925922</v>
      </c>
      <c r="C1215" t="s">
        <v>152</v>
      </c>
      <c r="D1215" t="s">
        <v>44</v>
      </c>
      <c r="E1215" t="s">
        <v>190</v>
      </c>
      <c r="F1215">
        <v>-9700</v>
      </c>
      <c r="G1215" t="s">
        <v>154</v>
      </c>
    </row>
    <row r="1216" spans="1:7" x14ac:dyDescent="0.3">
      <c r="A1216" s="42">
        <v>46020</v>
      </c>
      <c r="B1216" s="43">
        <v>0.66112268518518513</v>
      </c>
      <c r="C1216" t="s">
        <v>152</v>
      </c>
      <c r="D1216" t="s">
        <v>40</v>
      </c>
      <c r="E1216" t="s">
        <v>592</v>
      </c>
      <c r="F1216">
        <v>-23800</v>
      </c>
      <c r="G1216" t="s">
        <v>199</v>
      </c>
    </row>
    <row r="1217" spans="1:7" x14ac:dyDescent="0.3">
      <c r="A1217" s="42">
        <v>46020</v>
      </c>
      <c r="B1217" s="43">
        <v>0.60032407407407407</v>
      </c>
      <c r="C1217" t="s">
        <v>152</v>
      </c>
      <c r="D1217" t="s">
        <v>37</v>
      </c>
      <c r="E1217" t="s">
        <v>165</v>
      </c>
      <c r="F1217">
        <v>-27875</v>
      </c>
      <c r="G1217" t="s">
        <v>158</v>
      </c>
    </row>
    <row r="1218" spans="1:7" x14ac:dyDescent="0.3">
      <c r="A1218" s="42">
        <v>46020</v>
      </c>
      <c r="B1218" s="43">
        <v>0.50898148148148148</v>
      </c>
      <c r="C1218" t="s">
        <v>152</v>
      </c>
      <c r="D1218" t="s">
        <v>50</v>
      </c>
      <c r="E1218" t="s">
        <v>184</v>
      </c>
      <c r="F1218">
        <v>-9400</v>
      </c>
      <c r="G1218" t="s">
        <v>266</v>
      </c>
    </row>
    <row r="1219" spans="1:7" x14ac:dyDescent="0.3">
      <c r="A1219" s="42">
        <v>46020</v>
      </c>
      <c r="B1219" s="43">
        <v>0.49296296296296288</v>
      </c>
      <c r="C1219" t="s">
        <v>155</v>
      </c>
      <c r="D1219" t="s">
        <v>163</v>
      </c>
      <c r="E1219" t="s">
        <v>223</v>
      </c>
      <c r="F1219">
        <v>54</v>
      </c>
      <c r="G1219" t="s">
        <v>68</v>
      </c>
    </row>
    <row r="1220" spans="1:7" x14ac:dyDescent="0.3">
      <c r="A1220" s="42">
        <v>46020</v>
      </c>
      <c r="B1220" s="43">
        <v>0.49296296296296288</v>
      </c>
      <c r="C1220" t="s">
        <v>155</v>
      </c>
      <c r="D1220" t="s">
        <v>163</v>
      </c>
      <c r="E1220" t="s">
        <v>68</v>
      </c>
      <c r="F1220">
        <v>-54</v>
      </c>
      <c r="G1220" t="s">
        <v>67</v>
      </c>
    </row>
    <row r="1221" spans="1:7" x14ac:dyDescent="0.3">
      <c r="A1221" s="42">
        <v>46019</v>
      </c>
      <c r="B1221" s="43">
        <v>0.47752314814814822</v>
      </c>
      <c r="C1221" t="s">
        <v>152</v>
      </c>
      <c r="D1221" t="s">
        <v>50</v>
      </c>
      <c r="E1221" t="s">
        <v>593</v>
      </c>
      <c r="F1221">
        <v>-12090</v>
      </c>
      <c r="G1221" t="s">
        <v>266</v>
      </c>
    </row>
    <row r="1222" spans="1:7" x14ac:dyDescent="0.3">
      <c r="A1222" s="42">
        <v>46019</v>
      </c>
      <c r="B1222" s="43">
        <v>0.44562499999999999</v>
      </c>
      <c r="C1222" t="s">
        <v>155</v>
      </c>
      <c r="D1222" t="s">
        <v>156</v>
      </c>
      <c r="E1222" t="s">
        <v>233</v>
      </c>
      <c r="F1222">
        <v>-30</v>
      </c>
      <c r="G1222" t="s">
        <v>64</v>
      </c>
    </row>
    <row r="1223" spans="1:7" x14ac:dyDescent="0.3">
      <c r="A1223" s="42">
        <v>46019</v>
      </c>
      <c r="B1223" s="43">
        <v>0.44562499999999999</v>
      </c>
      <c r="C1223" t="s">
        <v>155</v>
      </c>
      <c r="D1223" t="s">
        <v>156</v>
      </c>
      <c r="E1223" t="s">
        <v>233</v>
      </c>
      <c r="F1223">
        <v>-310</v>
      </c>
      <c r="G1223" t="s">
        <v>64</v>
      </c>
    </row>
    <row r="1224" spans="1:7" x14ac:dyDescent="0.3">
      <c r="A1224" s="42">
        <v>46019</v>
      </c>
      <c r="B1224" s="43">
        <v>0.44562499999999999</v>
      </c>
      <c r="C1224" t="s">
        <v>155</v>
      </c>
      <c r="D1224" t="s">
        <v>156</v>
      </c>
      <c r="E1224" t="s">
        <v>234</v>
      </c>
      <c r="F1224">
        <v>2237</v>
      </c>
      <c r="G1224" t="s">
        <v>64</v>
      </c>
    </row>
    <row r="1225" spans="1:7" x14ac:dyDescent="0.3">
      <c r="A1225" s="42">
        <v>46019</v>
      </c>
      <c r="B1225" s="43">
        <v>0.40833333333333333</v>
      </c>
      <c r="C1225" t="s">
        <v>152</v>
      </c>
      <c r="D1225" t="s">
        <v>36</v>
      </c>
      <c r="E1225" t="s">
        <v>243</v>
      </c>
      <c r="F1225">
        <v>-1500</v>
      </c>
      <c r="G1225" t="s">
        <v>161</v>
      </c>
    </row>
    <row r="1226" spans="1:7" x14ac:dyDescent="0.3">
      <c r="A1226" s="42">
        <v>46019</v>
      </c>
      <c r="B1226" s="43">
        <v>0.40833333333333333</v>
      </c>
      <c r="C1226" t="s">
        <v>152</v>
      </c>
      <c r="D1226" t="s">
        <v>36</v>
      </c>
      <c r="E1226" t="s">
        <v>244</v>
      </c>
      <c r="F1226">
        <v>-2000</v>
      </c>
      <c r="G1226" t="s">
        <v>161</v>
      </c>
    </row>
    <row r="1227" spans="1:7" x14ac:dyDescent="0.3">
      <c r="A1227" s="42">
        <v>46018</v>
      </c>
      <c r="B1227" s="43">
        <v>0.88253472222222218</v>
      </c>
      <c r="C1227" t="s">
        <v>152</v>
      </c>
      <c r="D1227" t="s">
        <v>38</v>
      </c>
      <c r="E1227" t="s">
        <v>594</v>
      </c>
      <c r="F1227">
        <v>-3000</v>
      </c>
      <c r="G1227" t="s">
        <v>266</v>
      </c>
    </row>
    <row r="1228" spans="1:7" x14ac:dyDescent="0.3">
      <c r="A1228" s="42">
        <v>46018</v>
      </c>
      <c r="B1228" s="43">
        <v>0.74670138888888893</v>
      </c>
      <c r="C1228" t="s">
        <v>152</v>
      </c>
      <c r="D1228" t="s">
        <v>40</v>
      </c>
      <c r="E1228" t="s">
        <v>409</v>
      </c>
      <c r="F1228">
        <v>-3400</v>
      </c>
      <c r="G1228" t="s">
        <v>266</v>
      </c>
    </row>
    <row r="1229" spans="1:7" x14ac:dyDescent="0.3">
      <c r="A1229" s="42">
        <v>46018</v>
      </c>
      <c r="B1229" s="43">
        <v>0.58636574074074077</v>
      </c>
      <c r="C1229" t="s">
        <v>152</v>
      </c>
      <c r="D1229" t="s">
        <v>50</v>
      </c>
      <c r="E1229" t="s">
        <v>595</v>
      </c>
      <c r="F1229">
        <v>-35500</v>
      </c>
      <c r="G1229" t="s">
        <v>266</v>
      </c>
    </row>
    <row r="1230" spans="1:7" x14ac:dyDescent="0.3">
      <c r="A1230" s="42">
        <v>46018</v>
      </c>
      <c r="B1230" s="43">
        <v>0.45928240740740739</v>
      </c>
      <c r="C1230" t="s">
        <v>152</v>
      </c>
      <c r="D1230" t="s">
        <v>49</v>
      </c>
      <c r="E1230" t="s">
        <v>288</v>
      </c>
      <c r="F1230">
        <v>-4540</v>
      </c>
      <c r="G1230" t="s">
        <v>154</v>
      </c>
    </row>
    <row r="1231" spans="1:7" x14ac:dyDescent="0.3">
      <c r="A1231" s="42">
        <v>46018</v>
      </c>
      <c r="B1231" s="43">
        <v>0.40167824074074082</v>
      </c>
      <c r="C1231" t="s">
        <v>152</v>
      </c>
      <c r="D1231" t="s">
        <v>37</v>
      </c>
      <c r="E1231" t="s">
        <v>165</v>
      </c>
      <c r="F1231">
        <v>-6000</v>
      </c>
      <c r="G1231" t="s">
        <v>158</v>
      </c>
    </row>
    <row r="1232" spans="1:7" x14ac:dyDescent="0.3">
      <c r="A1232" s="42">
        <v>46018</v>
      </c>
      <c r="B1232" s="43">
        <v>0.18906249999999999</v>
      </c>
      <c r="C1232" t="s">
        <v>176</v>
      </c>
      <c r="D1232" t="s">
        <v>28</v>
      </c>
      <c r="E1232" t="s">
        <v>240</v>
      </c>
      <c r="F1232">
        <v>54</v>
      </c>
      <c r="G1232" t="s">
        <v>67</v>
      </c>
    </row>
    <row r="1233" spans="1:7" x14ac:dyDescent="0.3">
      <c r="A1233" s="42">
        <v>46018</v>
      </c>
      <c r="B1233" s="43">
        <v>0.1799074074074074</v>
      </c>
      <c r="C1233" t="s">
        <v>176</v>
      </c>
      <c r="D1233" t="s">
        <v>28</v>
      </c>
      <c r="E1233" t="s">
        <v>241</v>
      </c>
      <c r="F1233">
        <v>0</v>
      </c>
      <c r="G1233" t="s">
        <v>63</v>
      </c>
    </row>
    <row r="1234" spans="1:7" x14ac:dyDescent="0.3">
      <c r="A1234" s="42">
        <v>46018</v>
      </c>
      <c r="B1234" s="43">
        <v>0.17934027777777781</v>
      </c>
      <c r="C1234" t="s">
        <v>176</v>
      </c>
      <c r="D1234" t="s">
        <v>28</v>
      </c>
      <c r="E1234" t="s">
        <v>240</v>
      </c>
      <c r="F1234">
        <v>1457</v>
      </c>
      <c r="G1234" t="s">
        <v>67</v>
      </c>
    </row>
    <row r="1235" spans="1:7" x14ac:dyDescent="0.3">
      <c r="A1235" s="42">
        <v>46018</v>
      </c>
      <c r="B1235" s="43">
        <v>9.8773148148148152E-2</v>
      </c>
      <c r="C1235" t="s">
        <v>155</v>
      </c>
      <c r="D1235" t="s">
        <v>217</v>
      </c>
      <c r="E1235" t="s">
        <v>242</v>
      </c>
      <c r="F1235">
        <v>102</v>
      </c>
      <c r="G1235" t="s">
        <v>68</v>
      </c>
    </row>
    <row r="1236" spans="1:7" x14ac:dyDescent="0.3">
      <c r="A1236" s="42">
        <v>46017</v>
      </c>
      <c r="B1236" s="43">
        <v>0.84288194444444442</v>
      </c>
      <c r="C1236" t="s">
        <v>152</v>
      </c>
      <c r="D1236" t="s">
        <v>37</v>
      </c>
      <c r="E1236" t="s">
        <v>596</v>
      </c>
      <c r="F1236">
        <v>-20000</v>
      </c>
      <c r="G1236" t="s">
        <v>61</v>
      </c>
    </row>
    <row r="1237" spans="1:7" x14ac:dyDescent="0.3">
      <c r="A1237" s="42">
        <v>46017</v>
      </c>
      <c r="B1237" s="43">
        <v>0.80723379629629632</v>
      </c>
      <c r="C1237" t="s">
        <v>152</v>
      </c>
      <c r="D1237" t="s">
        <v>37</v>
      </c>
      <c r="E1237" t="s">
        <v>597</v>
      </c>
      <c r="F1237">
        <v>-153079</v>
      </c>
      <c r="G1237" t="s">
        <v>60</v>
      </c>
    </row>
    <row r="1238" spans="1:7" x14ac:dyDescent="0.3">
      <c r="A1238" s="42">
        <v>46017</v>
      </c>
      <c r="B1238" s="43">
        <v>0.80607638888888888</v>
      </c>
      <c r="C1238" t="s">
        <v>152</v>
      </c>
      <c r="D1238" t="s">
        <v>40</v>
      </c>
      <c r="E1238" t="s">
        <v>598</v>
      </c>
      <c r="F1238">
        <v>-258304</v>
      </c>
      <c r="G1238" t="s">
        <v>61</v>
      </c>
    </row>
    <row r="1239" spans="1:7" x14ac:dyDescent="0.3">
      <c r="A1239" s="42">
        <v>46017</v>
      </c>
      <c r="B1239" s="43">
        <v>0.4299189814814815</v>
      </c>
      <c r="C1239" t="s">
        <v>152</v>
      </c>
      <c r="D1239" t="s">
        <v>49</v>
      </c>
      <c r="E1239" t="s">
        <v>288</v>
      </c>
      <c r="F1239">
        <v>-900</v>
      </c>
      <c r="G1239" t="s">
        <v>154</v>
      </c>
    </row>
    <row r="1240" spans="1:7" x14ac:dyDescent="0.3">
      <c r="A1240" s="42">
        <v>46017</v>
      </c>
      <c r="B1240" s="43">
        <v>0.42872685185185178</v>
      </c>
      <c r="C1240" t="s">
        <v>152</v>
      </c>
      <c r="D1240" t="s">
        <v>36</v>
      </c>
      <c r="E1240" t="s">
        <v>243</v>
      </c>
      <c r="F1240">
        <v>-1500</v>
      </c>
      <c r="G1240" t="s">
        <v>161</v>
      </c>
    </row>
    <row r="1241" spans="1:7" x14ac:dyDescent="0.3">
      <c r="A1241" s="42">
        <v>46017</v>
      </c>
      <c r="B1241" s="43">
        <v>0.42872685185185178</v>
      </c>
      <c r="C1241" t="s">
        <v>152</v>
      </c>
      <c r="D1241" t="s">
        <v>36</v>
      </c>
      <c r="E1241" t="s">
        <v>244</v>
      </c>
      <c r="F1241">
        <v>-1900</v>
      </c>
      <c r="G1241" t="s">
        <v>161</v>
      </c>
    </row>
    <row r="1242" spans="1:7" x14ac:dyDescent="0.3">
      <c r="A1242" s="42">
        <v>46017</v>
      </c>
      <c r="B1242" s="43">
        <v>0.42221064814814813</v>
      </c>
      <c r="C1242" t="s">
        <v>152</v>
      </c>
      <c r="D1242" t="s">
        <v>50</v>
      </c>
      <c r="E1242" t="s">
        <v>352</v>
      </c>
      <c r="F1242">
        <v>-114480</v>
      </c>
      <c r="G1242" t="s">
        <v>266</v>
      </c>
    </row>
    <row r="1243" spans="1:7" x14ac:dyDescent="0.3">
      <c r="A1243" s="42">
        <v>46016</v>
      </c>
      <c r="B1243" s="43">
        <v>0.88121527777777775</v>
      </c>
      <c r="C1243" t="s">
        <v>152</v>
      </c>
      <c r="D1243" t="s">
        <v>44</v>
      </c>
      <c r="E1243" t="s">
        <v>430</v>
      </c>
      <c r="F1243">
        <v>-34740</v>
      </c>
      <c r="G1243" t="s">
        <v>266</v>
      </c>
    </row>
    <row r="1244" spans="1:7" x14ac:dyDescent="0.3">
      <c r="A1244" s="42">
        <v>46016</v>
      </c>
      <c r="B1244" s="43">
        <v>0.76158564814814811</v>
      </c>
      <c r="C1244" t="s">
        <v>155</v>
      </c>
      <c r="D1244" t="s">
        <v>163</v>
      </c>
      <c r="E1244" t="s">
        <v>530</v>
      </c>
      <c r="F1244">
        <v>-1000000</v>
      </c>
      <c r="G1244" t="s">
        <v>66</v>
      </c>
    </row>
    <row r="1245" spans="1:7" x14ac:dyDescent="0.3">
      <c r="A1245" s="42">
        <v>46016</v>
      </c>
      <c r="B1245" s="43">
        <v>0.76158564814814811</v>
      </c>
      <c r="C1245" t="s">
        <v>155</v>
      </c>
      <c r="D1245" t="s">
        <v>163</v>
      </c>
      <c r="E1245" t="s">
        <v>7</v>
      </c>
      <c r="F1245">
        <v>1000000</v>
      </c>
      <c r="G1245" t="s">
        <v>61</v>
      </c>
    </row>
    <row r="1246" spans="1:7" x14ac:dyDescent="0.3">
      <c r="A1246" s="42">
        <v>46016</v>
      </c>
      <c r="B1246" s="43">
        <v>0.75267361111111108</v>
      </c>
      <c r="C1246" t="s">
        <v>176</v>
      </c>
      <c r="D1246" t="s">
        <v>28</v>
      </c>
      <c r="E1246" t="s">
        <v>599</v>
      </c>
      <c r="F1246">
        <v>1</v>
      </c>
      <c r="G1246" t="s">
        <v>61</v>
      </c>
    </row>
    <row r="1247" spans="1:7" x14ac:dyDescent="0.3">
      <c r="A1247" s="42">
        <v>46016</v>
      </c>
      <c r="B1247" s="43">
        <v>0.49899305555555562</v>
      </c>
      <c r="C1247" t="s">
        <v>152</v>
      </c>
      <c r="D1247" t="s">
        <v>40</v>
      </c>
      <c r="E1247" t="s">
        <v>600</v>
      </c>
      <c r="F1247">
        <v>-930</v>
      </c>
      <c r="G1247" t="s">
        <v>266</v>
      </c>
    </row>
    <row r="1248" spans="1:7" x14ac:dyDescent="0.3">
      <c r="A1248" s="42">
        <v>46016</v>
      </c>
      <c r="B1248" s="43">
        <v>0.49524305555555548</v>
      </c>
      <c r="C1248" t="s">
        <v>152</v>
      </c>
      <c r="D1248" t="s">
        <v>40</v>
      </c>
      <c r="E1248" t="s">
        <v>425</v>
      </c>
      <c r="F1248">
        <v>-6300</v>
      </c>
      <c r="G1248" t="s">
        <v>266</v>
      </c>
    </row>
    <row r="1249" spans="1:7" x14ac:dyDescent="0.3">
      <c r="A1249" s="42">
        <v>46016</v>
      </c>
      <c r="B1249" s="43">
        <v>0.49261574074074072</v>
      </c>
      <c r="C1249" t="s">
        <v>152</v>
      </c>
      <c r="D1249" t="s">
        <v>40</v>
      </c>
      <c r="E1249" t="s">
        <v>425</v>
      </c>
      <c r="F1249">
        <v>-23380</v>
      </c>
      <c r="G1249" t="s">
        <v>266</v>
      </c>
    </row>
    <row r="1250" spans="1:7" x14ac:dyDescent="0.3">
      <c r="A1250" s="42">
        <v>46016</v>
      </c>
      <c r="B1250" s="43">
        <v>0.41891203703703711</v>
      </c>
      <c r="C1250" t="s">
        <v>152</v>
      </c>
      <c r="D1250" t="s">
        <v>36</v>
      </c>
      <c r="E1250" t="s">
        <v>243</v>
      </c>
      <c r="F1250">
        <v>-1500</v>
      </c>
      <c r="G1250" t="s">
        <v>161</v>
      </c>
    </row>
    <row r="1251" spans="1:7" x14ac:dyDescent="0.3">
      <c r="A1251" s="42">
        <v>46016</v>
      </c>
      <c r="B1251" s="43">
        <v>0.41891203703703711</v>
      </c>
      <c r="C1251" t="s">
        <v>152</v>
      </c>
      <c r="D1251" t="s">
        <v>36</v>
      </c>
      <c r="E1251" t="s">
        <v>244</v>
      </c>
      <c r="F1251">
        <v>-1900</v>
      </c>
      <c r="G1251" t="s">
        <v>161</v>
      </c>
    </row>
    <row r="1252" spans="1:7" x14ac:dyDescent="0.3">
      <c r="A1252" s="42">
        <v>46016</v>
      </c>
      <c r="B1252" s="43">
        <v>0</v>
      </c>
      <c r="C1252" t="s">
        <v>152</v>
      </c>
      <c r="D1252" t="s">
        <v>44</v>
      </c>
      <c r="E1252" t="s">
        <v>190</v>
      </c>
      <c r="F1252">
        <v>8300</v>
      </c>
      <c r="G1252" t="s">
        <v>154</v>
      </c>
    </row>
    <row r="1253" spans="1:7" x14ac:dyDescent="0.3">
      <c r="A1253" s="42">
        <v>46015</v>
      </c>
      <c r="B1253" s="43">
        <v>0.92321759259259262</v>
      </c>
      <c r="C1253" t="s">
        <v>152</v>
      </c>
      <c r="D1253" t="s">
        <v>44</v>
      </c>
      <c r="E1253" t="s">
        <v>601</v>
      </c>
      <c r="F1253">
        <v>-7496</v>
      </c>
      <c r="G1253" t="s">
        <v>602</v>
      </c>
    </row>
    <row r="1254" spans="1:7" x14ac:dyDescent="0.3">
      <c r="A1254" s="42">
        <v>46015</v>
      </c>
      <c r="B1254" s="43">
        <v>0.91653935185185187</v>
      </c>
      <c r="C1254" t="s">
        <v>152</v>
      </c>
      <c r="D1254" t="s">
        <v>44</v>
      </c>
      <c r="E1254" t="s">
        <v>601</v>
      </c>
      <c r="F1254">
        <v>-1896</v>
      </c>
      <c r="G1254" t="s">
        <v>602</v>
      </c>
    </row>
    <row r="1255" spans="1:7" x14ac:dyDescent="0.3">
      <c r="A1255" s="42">
        <v>46015</v>
      </c>
      <c r="B1255" s="43">
        <v>0.88342592592592595</v>
      </c>
      <c r="C1255" t="s">
        <v>152</v>
      </c>
      <c r="D1255" t="s">
        <v>44</v>
      </c>
      <c r="E1255" t="s">
        <v>601</v>
      </c>
      <c r="F1255">
        <v>-5433</v>
      </c>
      <c r="G1255" t="s">
        <v>602</v>
      </c>
    </row>
    <row r="1256" spans="1:7" x14ac:dyDescent="0.3">
      <c r="A1256" s="42">
        <v>46015</v>
      </c>
      <c r="B1256" s="43">
        <v>5.4421296296296287E-2</v>
      </c>
      <c r="C1256" t="s">
        <v>176</v>
      </c>
      <c r="D1256" t="s">
        <v>29</v>
      </c>
      <c r="E1256" t="s">
        <v>509</v>
      </c>
      <c r="F1256">
        <v>500000</v>
      </c>
      <c r="G1256" t="s">
        <v>64</v>
      </c>
    </row>
    <row r="1257" spans="1:7" x14ac:dyDescent="0.3">
      <c r="A1257" s="42">
        <v>46015</v>
      </c>
      <c r="B1257" s="43">
        <v>4.7951388888888891E-2</v>
      </c>
      <c r="C1257" t="s">
        <v>155</v>
      </c>
      <c r="D1257" t="s">
        <v>217</v>
      </c>
      <c r="E1257" t="s">
        <v>603</v>
      </c>
      <c r="F1257">
        <v>100000</v>
      </c>
      <c r="G1257" t="s">
        <v>64</v>
      </c>
    </row>
    <row r="1258" spans="1:7" x14ac:dyDescent="0.3">
      <c r="A1258" s="42">
        <v>46015</v>
      </c>
      <c r="B1258" s="43">
        <v>4.2372685185185187E-2</v>
      </c>
      <c r="C1258" t="s">
        <v>152</v>
      </c>
      <c r="D1258" t="s">
        <v>48</v>
      </c>
      <c r="E1258" t="s">
        <v>251</v>
      </c>
      <c r="F1258">
        <v>-300</v>
      </c>
      <c r="G1258" t="s">
        <v>154</v>
      </c>
    </row>
    <row r="1259" spans="1:7" x14ac:dyDescent="0.3">
      <c r="A1259" s="42">
        <v>46014</v>
      </c>
      <c r="B1259" s="43">
        <v>0.8274421296296296</v>
      </c>
      <c r="C1259" t="s">
        <v>152</v>
      </c>
      <c r="D1259" t="s">
        <v>37</v>
      </c>
      <c r="E1259" t="s">
        <v>604</v>
      </c>
      <c r="F1259">
        <v>-16900</v>
      </c>
      <c r="G1259" t="s">
        <v>60</v>
      </c>
    </row>
    <row r="1260" spans="1:7" x14ac:dyDescent="0.3">
      <c r="A1260" s="42">
        <v>46014</v>
      </c>
      <c r="B1260" s="43">
        <v>0.81696759259259255</v>
      </c>
      <c r="C1260" t="s">
        <v>152</v>
      </c>
      <c r="D1260" t="s">
        <v>37</v>
      </c>
      <c r="E1260" t="s">
        <v>605</v>
      </c>
      <c r="F1260">
        <v>-12555</v>
      </c>
      <c r="G1260" t="s">
        <v>61</v>
      </c>
    </row>
    <row r="1261" spans="1:7" x14ac:dyDescent="0.3">
      <c r="A1261" s="42">
        <v>46014</v>
      </c>
      <c r="B1261" s="43">
        <v>0.76103009259259258</v>
      </c>
      <c r="C1261" t="s">
        <v>152</v>
      </c>
      <c r="D1261" t="s">
        <v>37</v>
      </c>
      <c r="E1261" t="s">
        <v>256</v>
      </c>
      <c r="F1261">
        <v>-898290</v>
      </c>
      <c r="G1261" t="s">
        <v>67</v>
      </c>
    </row>
    <row r="1262" spans="1:7" x14ac:dyDescent="0.3">
      <c r="A1262" s="42">
        <v>46014</v>
      </c>
      <c r="B1262" s="43">
        <v>0.69142361111111106</v>
      </c>
      <c r="C1262" t="s">
        <v>152</v>
      </c>
      <c r="D1262" t="s">
        <v>44</v>
      </c>
      <c r="E1262" t="s">
        <v>190</v>
      </c>
      <c r="F1262">
        <v>-19600</v>
      </c>
      <c r="G1262" t="s">
        <v>154</v>
      </c>
    </row>
    <row r="1263" spans="1:7" x14ac:dyDescent="0.3">
      <c r="A1263" s="42">
        <v>46014</v>
      </c>
      <c r="B1263" s="43">
        <v>0.47528935185185178</v>
      </c>
      <c r="C1263" t="s">
        <v>155</v>
      </c>
      <c r="D1263" t="s">
        <v>163</v>
      </c>
      <c r="E1263" t="s">
        <v>223</v>
      </c>
      <c r="F1263">
        <v>467</v>
      </c>
      <c r="G1263" t="s">
        <v>68</v>
      </c>
    </row>
    <row r="1264" spans="1:7" x14ac:dyDescent="0.3">
      <c r="A1264" s="42">
        <v>46014</v>
      </c>
      <c r="B1264" s="43">
        <v>0.47528935185185178</v>
      </c>
      <c r="C1264" t="s">
        <v>155</v>
      </c>
      <c r="D1264" t="s">
        <v>163</v>
      </c>
      <c r="E1264" t="s">
        <v>68</v>
      </c>
      <c r="F1264">
        <v>-467</v>
      </c>
      <c r="G1264" t="s">
        <v>67</v>
      </c>
    </row>
    <row r="1265" spans="1:7" x14ac:dyDescent="0.3">
      <c r="A1265" s="42">
        <v>46014</v>
      </c>
      <c r="B1265" s="43">
        <v>0.36725694444444451</v>
      </c>
      <c r="C1265" t="s">
        <v>152</v>
      </c>
      <c r="D1265" t="s">
        <v>50</v>
      </c>
      <c r="E1265" t="s">
        <v>184</v>
      </c>
      <c r="F1265">
        <v>-3200</v>
      </c>
      <c r="G1265" t="s">
        <v>266</v>
      </c>
    </row>
    <row r="1266" spans="1:7" x14ac:dyDescent="0.3">
      <c r="A1266" s="42">
        <v>46014</v>
      </c>
      <c r="B1266" s="43">
        <v>0.33284722222222218</v>
      </c>
      <c r="C1266" t="s">
        <v>152</v>
      </c>
      <c r="D1266" t="s">
        <v>37</v>
      </c>
      <c r="E1266" t="s">
        <v>498</v>
      </c>
      <c r="F1266">
        <v>-14300</v>
      </c>
      <c r="G1266" t="s">
        <v>266</v>
      </c>
    </row>
    <row r="1267" spans="1:7" x14ac:dyDescent="0.3">
      <c r="A1267" s="42">
        <v>46013</v>
      </c>
      <c r="B1267" s="43">
        <v>0.54987268518518517</v>
      </c>
      <c r="C1267" t="s">
        <v>152</v>
      </c>
      <c r="D1267" t="s">
        <v>44</v>
      </c>
      <c r="E1267" t="s">
        <v>190</v>
      </c>
      <c r="F1267">
        <v>-8300</v>
      </c>
      <c r="G1267" t="s">
        <v>154</v>
      </c>
    </row>
    <row r="1268" spans="1:7" x14ac:dyDescent="0.3">
      <c r="A1268" s="42">
        <v>46013</v>
      </c>
      <c r="B1268" s="43">
        <v>0.45461805555555562</v>
      </c>
      <c r="C1268" t="s">
        <v>152</v>
      </c>
      <c r="D1268" t="s">
        <v>36</v>
      </c>
      <c r="E1268" t="s">
        <v>243</v>
      </c>
      <c r="F1268">
        <v>-1500</v>
      </c>
      <c r="G1268" t="s">
        <v>161</v>
      </c>
    </row>
    <row r="1269" spans="1:7" x14ac:dyDescent="0.3">
      <c r="A1269" s="42">
        <v>46013</v>
      </c>
      <c r="B1269" s="43">
        <v>0.45461805555555562</v>
      </c>
      <c r="C1269" t="s">
        <v>152</v>
      </c>
      <c r="D1269" t="s">
        <v>36</v>
      </c>
      <c r="E1269" t="s">
        <v>244</v>
      </c>
      <c r="F1269">
        <v>-2000</v>
      </c>
      <c r="G1269" t="s">
        <v>161</v>
      </c>
    </row>
    <row r="1270" spans="1:7" x14ac:dyDescent="0.3">
      <c r="A1270" s="42">
        <v>46013</v>
      </c>
      <c r="B1270" s="43">
        <v>0.36615740740740738</v>
      </c>
      <c r="C1270" t="s">
        <v>152</v>
      </c>
      <c r="D1270" t="s">
        <v>37</v>
      </c>
      <c r="E1270" t="s">
        <v>366</v>
      </c>
      <c r="F1270">
        <v>-219533</v>
      </c>
      <c r="G1270" t="s">
        <v>67</v>
      </c>
    </row>
    <row r="1271" spans="1:7" x14ac:dyDescent="0.3">
      <c r="A1271" s="42">
        <v>46012</v>
      </c>
      <c r="B1271" s="43">
        <v>0.3566435185185185</v>
      </c>
      <c r="C1271" t="s">
        <v>152</v>
      </c>
      <c r="D1271" t="s">
        <v>40</v>
      </c>
      <c r="E1271" t="s">
        <v>606</v>
      </c>
      <c r="F1271">
        <v>-7290</v>
      </c>
      <c r="G1271" t="s">
        <v>266</v>
      </c>
    </row>
    <row r="1272" spans="1:7" x14ac:dyDescent="0.3">
      <c r="A1272" s="42">
        <v>46011</v>
      </c>
      <c r="B1272" s="43">
        <v>0.75165509259259256</v>
      </c>
      <c r="C1272" t="s">
        <v>152</v>
      </c>
      <c r="D1272" t="s">
        <v>40</v>
      </c>
      <c r="E1272" t="s">
        <v>606</v>
      </c>
      <c r="F1272">
        <v>-1600</v>
      </c>
      <c r="G1272" t="s">
        <v>266</v>
      </c>
    </row>
    <row r="1273" spans="1:7" x14ac:dyDescent="0.3">
      <c r="A1273" s="42">
        <v>46011</v>
      </c>
      <c r="B1273" s="43">
        <v>0.71562499999999996</v>
      </c>
      <c r="C1273" t="s">
        <v>155</v>
      </c>
      <c r="D1273" t="s">
        <v>155</v>
      </c>
      <c r="E1273" t="s">
        <v>607</v>
      </c>
      <c r="F1273">
        <v>-8000</v>
      </c>
      <c r="G1273" t="s">
        <v>158</v>
      </c>
    </row>
    <row r="1274" spans="1:7" x14ac:dyDescent="0.3">
      <c r="A1274" s="42">
        <v>46011</v>
      </c>
      <c r="B1274" s="43">
        <v>0.70695601851851853</v>
      </c>
      <c r="C1274" t="s">
        <v>152</v>
      </c>
      <c r="D1274" t="s">
        <v>47</v>
      </c>
      <c r="E1274" t="s">
        <v>608</v>
      </c>
      <c r="F1274">
        <v>-50000</v>
      </c>
      <c r="G1274" t="s">
        <v>266</v>
      </c>
    </row>
    <row r="1275" spans="1:7" x14ac:dyDescent="0.3">
      <c r="A1275" s="42">
        <v>46011</v>
      </c>
      <c r="B1275" s="43">
        <v>0.61390046296296297</v>
      </c>
      <c r="C1275" t="s">
        <v>152</v>
      </c>
      <c r="D1275" t="s">
        <v>42</v>
      </c>
      <c r="E1275" t="s">
        <v>609</v>
      </c>
      <c r="F1275">
        <v>-9200</v>
      </c>
      <c r="G1275" t="s">
        <v>266</v>
      </c>
    </row>
    <row r="1276" spans="1:7" x14ac:dyDescent="0.3">
      <c r="A1276" s="42">
        <v>46011</v>
      </c>
      <c r="B1276" s="43">
        <v>0.58243055555555556</v>
      </c>
      <c r="C1276" t="s">
        <v>152</v>
      </c>
      <c r="D1276" t="s">
        <v>44</v>
      </c>
      <c r="E1276" t="s">
        <v>610</v>
      </c>
      <c r="F1276">
        <v>-5000</v>
      </c>
      <c r="G1276" t="s">
        <v>266</v>
      </c>
    </row>
    <row r="1277" spans="1:7" x14ac:dyDescent="0.3">
      <c r="A1277" s="42">
        <v>46011</v>
      </c>
      <c r="B1277" s="43">
        <v>0.47689814814814813</v>
      </c>
      <c r="C1277" t="s">
        <v>176</v>
      </c>
      <c r="D1277" t="s">
        <v>28</v>
      </c>
      <c r="E1277" t="s">
        <v>273</v>
      </c>
      <c r="F1277">
        <v>1354</v>
      </c>
      <c r="G1277" t="s">
        <v>66</v>
      </c>
    </row>
    <row r="1278" spans="1:7" x14ac:dyDescent="0.3">
      <c r="A1278" s="42">
        <v>46011</v>
      </c>
      <c r="B1278" s="43">
        <v>0.4205902777777778</v>
      </c>
      <c r="C1278" t="s">
        <v>152</v>
      </c>
      <c r="D1278" t="s">
        <v>36</v>
      </c>
      <c r="E1278" t="s">
        <v>244</v>
      </c>
      <c r="F1278">
        <v>-400</v>
      </c>
      <c r="G1278" t="s">
        <v>161</v>
      </c>
    </row>
    <row r="1279" spans="1:7" x14ac:dyDescent="0.3">
      <c r="A1279" s="42">
        <v>46011</v>
      </c>
      <c r="B1279" s="43">
        <v>0.4205902777777778</v>
      </c>
      <c r="C1279" t="s">
        <v>152</v>
      </c>
      <c r="D1279" t="s">
        <v>36</v>
      </c>
      <c r="E1279" t="s">
        <v>226</v>
      </c>
      <c r="F1279">
        <v>-3000</v>
      </c>
      <c r="G1279" t="s">
        <v>161</v>
      </c>
    </row>
    <row r="1280" spans="1:7" x14ac:dyDescent="0.3">
      <c r="A1280" s="42">
        <v>46011</v>
      </c>
      <c r="B1280" s="43">
        <v>0.31094907407407413</v>
      </c>
      <c r="C1280" t="s">
        <v>152</v>
      </c>
      <c r="D1280" t="s">
        <v>40</v>
      </c>
      <c r="E1280" t="s">
        <v>606</v>
      </c>
      <c r="F1280">
        <v>-2970</v>
      </c>
      <c r="G1280" t="s">
        <v>266</v>
      </c>
    </row>
    <row r="1281" spans="1:7" x14ac:dyDescent="0.3">
      <c r="A1281" s="42">
        <v>46010</v>
      </c>
      <c r="B1281" s="43">
        <v>0.67410879629629628</v>
      </c>
      <c r="C1281" t="s">
        <v>152</v>
      </c>
      <c r="D1281" t="s">
        <v>42</v>
      </c>
      <c r="E1281" t="s">
        <v>611</v>
      </c>
      <c r="F1281">
        <v>-5000</v>
      </c>
      <c r="G1281" t="s">
        <v>266</v>
      </c>
    </row>
    <row r="1282" spans="1:7" x14ac:dyDescent="0.3">
      <c r="A1282" s="42">
        <v>46010</v>
      </c>
      <c r="B1282" s="43">
        <v>0.42581018518518521</v>
      </c>
      <c r="C1282" t="s">
        <v>152</v>
      </c>
      <c r="D1282" t="s">
        <v>36</v>
      </c>
      <c r="E1282" t="s">
        <v>244</v>
      </c>
      <c r="F1282">
        <v>-500</v>
      </c>
      <c r="G1282" t="s">
        <v>161</v>
      </c>
    </row>
    <row r="1283" spans="1:7" x14ac:dyDescent="0.3">
      <c r="A1283" s="42">
        <v>46010</v>
      </c>
      <c r="B1283" s="43">
        <v>0.42579861111111111</v>
      </c>
      <c r="C1283" t="s">
        <v>152</v>
      </c>
      <c r="D1283" t="s">
        <v>36</v>
      </c>
      <c r="E1283" t="s">
        <v>226</v>
      </c>
      <c r="F1283">
        <v>-3000</v>
      </c>
      <c r="G1283" t="s">
        <v>161</v>
      </c>
    </row>
    <row r="1284" spans="1:7" x14ac:dyDescent="0.3">
      <c r="A1284" s="42">
        <v>46010</v>
      </c>
      <c r="B1284" s="43">
        <v>0.33407407407407408</v>
      </c>
      <c r="C1284" t="s">
        <v>176</v>
      </c>
      <c r="D1284" t="s">
        <v>29</v>
      </c>
      <c r="E1284" t="s">
        <v>29</v>
      </c>
      <c r="F1284">
        <v>4630720</v>
      </c>
      <c r="G1284" t="s">
        <v>60</v>
      </c>
    </row>
    <row r="1285" spans="1:7" x14ac:dyDescent="0.3">
      <c r="A1285" s="42">
        <v>46009</v>
      </c>
      <c r="B1285" s="43">
        <v>0.85094907407407405</v>
      </c>
      <c r="C1285" t="s">
        <v>152</v>
      </c>
      <c r="D1285" t="s">
        <v>37</v>
      </c>
      <c r="E1285" t="s">
        <v>498</v>
      </c>
      <c r="F1285">
        <v>-14300</v>
      </c>
      <c r="G1285" t="s">
        <v>266</v>
      </c>
    </row>
    <row r="1286" spans="1:7" x14ac:dyDescent="0.3">
      <c r="A1286" s="42">
        <v>46009</v>
      </c>
      <c r="B1286" s="43">
        <v>0.73994212962962957</v>
      </c>
      <c r="C1286" t="s">
        <v>152</v>
      </c>
      <c r="D1286" t="s">
        <v>44</v>
      </c>
      <c r="E1286" t="s">
        <v>190</v>
      </c>
      <c r="F1286">
        <v>-11450</v>
      </c>
      <c r="G1286" t="s">
        <v>154</v>
      </c>
    </row>
    <row r="1287" spans="1:7" x14ac:dyDescent="0.3">
      <c r="A1287" s="42">
        <v>46009</v>
      </c>
      <c r="B1287" s="43">
        <v>0.73569444444444443</v>
      </c>
      <c r="C1287" t="s">
        <v>152</v>
      </c>
      <c r="D1287" t="s">
        <v>44</v>
      </c>
      <c r="E1287" t="s">
        <v>190</v>
      </c>
      <c r="F1287">
        <v>11450</v>
      </c>
      <c r="G1287" t="s">
        <v>154</v>
      </c>
    </row>
    <row r="1288" spans="1:7" x14ac:dyDescent="0.3">
      <c r="A1288" s="42">
        <v>46009</v>
      </c>
      <c r="B1288" s="43">
        <v>0.72631944444444441</v>
      </c>
      <c r="C1288" t="s">
        <v>152</v>
      </c>
      <c r="D1288" t="s">
        <v>44</v>
      </c>
      <c r="E1288" t="s">
        <v>190</v>
      </c>
      <c r="F1288">
        <v>-11450</v>
      </c>
      <c r="G1288" t="s">
        <v>154</v>
      </c>
    </row>
    <row r="1289" spans="1:7" x14ac:dyDescent="0.3">
      <c r="A1289" s="42">
        <v>46009</v>
      </c>
      <c r="B1289" s="43">
        <v>0.43678240740740742</v>
      </c>
      <c r="C1289" t="s">
        <v>152</v>
      </c>
      <c r="D1289" t="s">
        <v>36</v>
      </c>
      <c r="E1289" t="s">
        <v>244</v>
      </c>
      <c r="F1289">
        <v>-400</v>
      </c>
      <c r="G1289" t="s">
        <v>161</v>
      </c>
    </row>
    <row r="1290" spans="1:7" x14ac:dyDescent="0.3">
      <c r="A1290" s="42">
        <v>46009</v>
      </c>
      <c r="B1290" s="43">
        <v>0.43677083333333327</v>
      </c>
      <c r="C1290" t="s">
        <v>152</v>
      </c>
      <c r="D1290" t="s">
        <v>36</v>
      </c>
      <c r="E1290" t="s">
        <v>612</v>
      </c>
      <c r="F1290">
        <v>-3100</v>
      </c>
      <c r="G1290" t="s">
        <v>161</v>
      </c>
    </row>
    <row r="1291" spans="1:7" x14ac:dyDescent="0.3">
      <c r="A1291" s="42">
        <v>46008</v>
      </c>
      <c r="B1291" s="43">
        <v>0.62776620370370373</v>
      </c>
      <c r="C1291" t="s">
        <v>176</v>
      </c>
      <c r="D1291" t="s">
        <v>29</v>
      </c>
      <c r="E1291" t="s">
        <v>613</v>
      </c>
      <c r="F1291">
        <v>50000</v>
      </c>
      <c r="G1291" t="s">
        <v>61</v>
      </c>
    </row>
    <row r="1292" spans="1:7" x14ac:dyDescent="0.3">
      <c r="A1292" s="42">
        <v>46008</v>
      </c>
      <c r="B1292" s="43">
        <v>0.59297453703703706</v>
      </c>
      <c r="C1292" t="s">
        <v>152</v>
      </c>
      <c r="D1292" t="s">
        <v>50</v>
      </c>
      <c r="E1292" t="s">
        <v>184</v>
      </c>
      <c r="F1292">
        <v>-14600</v>
      </c>
      <c r="G1292" t="s">
        <v>266</v>
      </c>
    </row>
    <row r="1293" spans="1:7" x14ac:dyDescent="0.3">
      <c r="A1293" s="42">
        <v>46008</v>
      </c>
      <c r="B1293" s="43">
        <v>0.40369212962962958</v>
      </c>
      <c r="C1293" t="s">
        <v>152</v>
      </c>
      <c r="D1293" t="s">
        <v>40</v>
      </c>
      <c r="E1293" t="s">
        <v>614</v>
      </c>
      <c r="F1293">
        <v>-5796</v>
      </c>
      <c r="G1293" t="s">
        <v>199</v>
      </c>
    </row>
    <row r="1294" spans="1:7" x14ac:dyDescent="0.3">
      <c r="A1294" s="42">
        <v>46008</v>
      </c>
      <c r="B1294" s="43">
        <v>0.40369212962962958</v>
      </c>
      <c r="C1294" t="s">
        <v>152</v>
      </c>
      <c r="D1294" t="s">
        <v>40</v>
      </c>
      <c r="E1294" t="s">
        <v>614</v>
      </c>
      <c r="F1294">
        <v>-33354</v>
      </c>
      <c r="G1294" t="s">
        <v>182</v>
      </c>
    </row>
    <row r="1295" spans="1:7" x14ac:dyDescent="0.3">
      <c r="A1295" s="42">
        <v>46007</v>
      </c>
      <c r="B1295" s="43">
        <v>0.76493055555555556</v>
      </c>
      <c r="C1295" t="s">
        <v>155</v>
      </c>
      <c r="D1295" t="s">
        <v>163</v>
      </c>
      <c r="E1295" t="s">
        <v>579</v>
      </c>
      <c r="F1295">
        <v>-1032000</v>
      </c>
      <c r="G1295" t="s">
        <v>61</v>
      </c>
    </row>
    <row r="1296" spans="1:7" x14ac:dyDescent="0.3">
      <c r="A1296" s="42">
        <v>46007</v>
      </c>
      <c r="B1296" s="43">
        <v>0.42241898148148149</v>
      </c>
      <c r="C1296" t="s">
        <v>152</v>
      </c>
      <c r="D1296" t="s">
        <v>36</v>
      </c>
      <c r="E1296" t="s">
        <v>226</v>
      </c>
      <c r="F1296">
        <v>-1600</v>
      </c>
      <c r="G1296" t="s">
        <v>161</v>
      </c>
    </row>
    <row r="1297" spans="1:7" x14ac:dyDescent="0.3">
      <c r="A1297" s="42">
        <v>46007</v>
      </c>
      <c r="B1297" s="43">
        <v>0.42241898148148149</v>
      </c>
      <c r="C1297" t="s">
        <v>152</v>
      </c>
      <c r="D1297" t="s">
        <v>36</v>
      </c>
      <c r="E1297" t="s">
        <v>244</v>
      </c>
      <c r="F1297">
        <v>-1900</v>
      </c>
      <c r="G1297" t="s">
        <v>161</v>
      </c>
    </row>
    <row r="1298" spans="1:7" x14ac:dyDescent="0.3">
      <c r="A1298" s="42">
        <v>46006</v>
      </c>
      <c r="B1298" s="43">
        <v>0.85991898148148149</v>
      </c>
      <c r="C1298" t="s">
        <v>155</v>
      </c>
      <c r="D1298" t="s">
        <v>213</v>
      </c>
      <c r="E1298" t="s">
        <v>326</v>
      </c>
      <c r="F1298">
        <v>-513878</v>
      </c>
      <c r="G1298" t="s">
        <v>61</v>
      </c>
    </row>
    <row r="1299" spans="1:7" x14ac:dyDescent="0.3">
      <c r="A1299" s="42">
        <v>46006</v>
      </c>
      <c r="B1299" s="43">
        <v>0.81606481481481485</v>
      </c>
      <c r="C1299" t="s">
        <v>155</v>
      </c>
      <c r="D1299" t="s">
        <v>213</v>
      </c>
      <c r="E1299" t="s">
        <v>615</v>
      </c>
      <c r="F1299">
        <v>-825386</v>
      </c>
      <c r="G1299" t="s">
        <v>61</v>
      </c>
    </row>
    <row r="1300" spans="1:7" x14ac:dyDescent="0.3">
      <c r="A1300" s="42">
        <v>46006</v>
      </c>
      <c r="B1300" s="43">
        <v>0.73121527777777773</v>
      </c>
      <c r="C1300" t="s">
        <v>152</v>
      </c>
      <c r="D1300" t="s">
        <v>40</v>
      </c>
      <c r="E1300" t="s">
        <v>389</v>
      </c>
      <c r="F1300">
        <v>-3920</v>
      </c>
      <c r="G1300" t="s">
        <v>266</v>
      </c>
    </row>
    <row r="1301" spans="1:7" x14ac:dyDescent="0.3">
      <c r="A1301" s="42">
        <v>46006</v>
      </c>
      <c r="B1301" s="43">
        <v>0.67158564814814814</v>
      </c>
      <c r="C1301" t="s">
        <v>155</v>
      </c>
      <c r="D1301" t="s">
        <v>163</v>
      </c>
      <c r="E1301" t="s">
        <v>579</v>
      </c>
      <c r="F1301">
        <v>-782685</v>
      </c>
      <c r="G1301" t="s">
        <v>61</v>
      </c>
    </row>
    <row r="1302" spans="1:7" x14ac:dyDescent="0.3">
      <c r="A1302" s="42">
        <v>46006</v>
      </c>
      <c r="B1302" s="43">
        <v>0.62093750000000003</v>
      </c>
      <c r="C1302" t="s">
        <v>152</v>
      </c>
      <c r="D1302" t="s">
        <v>45</v>
      </c>
      <c r="E1302" t="s">
        <v>616</v>
      </c>
      <c r="F1302">
        <v>-59800</v>
      </c>
      <c r="G1302" t="s">
        <v>182</v>
      </c>
    </row>
    <row r="1303" spans="1:7" x14ac:dyDescent="0.3">
      <c r="A1303" s="42">
        <v>46006</v>
      </c>
      <c r="B1303" s="43">
        <v>0.56291666666666662</v>
      </c>
      <c r="C1303" t="s">
        <v>152</v>
      </c>
      <c r="D1303" t="s">
        <v>46</v>
      </c>
      <c r="E1303" t="s">
        <v>617</v>
      </c>
      <c r="F1303">
        <v>-3040</v>
      </c>
      <c r="G1303" t="s">
        <v>199</v>
      </c>
    </row>
    <row r="1304" spans="1:7" x14ac:dyDescent="0.3">
      <c r="A1304" s="42">
        <v>46006</v>
      </c>
      <c r="B1304" s="43">
        <v>0.56291666666666662</v>
      </c>
      <c r="C1304" t="s">
        <v>152</v>
      </c>
      <c r="D1304" t="s">
        <v>46</v>
      </c>
      <c r="E1304" t="s">
        <v>617</v>
      </c>
      <c r="F1304">
        <v>-57710</v>
      </c>
      <c r="G1304" t="s">
        <v>182</v>
      </c>
    </row>
    <row r="1305" spans="1:7" x14ac:dyDescent="0.3">
      <c r="A1305" s="42">
        <v>46006</v>
      </c>
      <c r="B1305" s="43">
        <v>0.51479166666666665</v>
      </c>
      <c r="C1305" t="s">
        <v>152</v>
      </c>
      <c r="D1305" t="s">
        <v>42</v>
      </c>
      <c r="E1305" t="s">
        <v>307</v>
      </c>
      <c r="F1305">
        <v>-15000</v>
      </c>
      <c r="G1305" t="s">
        <v>266</v>
      </c>
    </row>
    <row r="1306" spans="1:7" x14ac:dyDescent="0.3">
      <c r="A1306" s="42">
        <v>46005</v>
      </c>
      <c r="B1306" s="43">
        <v>0.6346180555555555</v>
      </c>
      <c r="C1306" t="s">
        <v>152</v>
      </c>
      <c r="D1306" t="s">
        <v>46</v>
      </c>
      <c r="E1306" t="s">
        <v>618</v>
      </c>
      <c r="F1306">
        <v>-14400</v>
      </c>
      <c r="G1306" t="s">
        <v>199</v>
      </c>
    </row>
    <row r="1307" spans="1:7" x14ac:dyDescent="0.3">
      <c r="A1307" s="42">
        <v>46005</v>
      </c>
      <c r="B1307" s="43">
        <v>0.42752314814814812</v>
      </c>
      <c r="C1307" t="s">
        <v>152</v>
      </c>
      <c r="D1307" t="s">
        <v>36</v>
      </c>
      <c r="E1307" t="s">
        <v>244</v>
      </c>
      <c r="F1307">
        <v>-500</v>
      </c>
      <c r="G1307" t="s">
        <v>161</v>
      </c>
    </row>
    <row r="1308" spans="1:7" x14ac:dyDescent="0.3">
      <c r="A1308" s="42">
        <v>46005</v>
      </c>
      <c r="B1308" s="43">
        <v>0.42752314814814812</v>
      </c>
      <c r="C1308" t="s">
        <v>152</v>
      </c>
      <c r="D1308" t="s">
        <v>36</v>
      </c>
      <c r="E1308" t="s">
        <v>226</v>
      </c>
      <c r="F1308">
        <v>-3000</v>
      </c>
      <c r="G1308" t="s">
        <v>161</v>
      </c>
    </row>
    <row r="1309" spans="1:7" x14ac:dyDescent="0.3">
      <c r="A1309" s="42">
        <v>46004</v>
      </c>
      <c r="B1309" s="43">
        <v>0.97026620370370376</v>
      </c>
      <c r="C1309" t="s">
        <v>155</v>
      </c>
      <c r="D1309" t="s">
        <v>155</v>
      </c>
      <c r="E1309" t="s">
        <v>619</v>
      </c>
      <c r="F1309">
        <v>108933</v>
      </c>
      <c r="G1309" t="s">
        <v>158</v>
      </c>
    </row>
    <row r="1310" spans="1:7" x14ac:dyDescent="0.3">
      <c r="A1310" s="42">
        <v>46004</v>
      </c>
      <c r="B1310" s="43">
        <v>0.95733796296296292</v>
      </c>
      <c r="C1310" t="s">
        <v>155</v>
      </c>
      <c r="D1310" t="s">
        <v>155</v>
      </c>
      <c r="E1310" t="s">
        <v>620</v>
      </c>
      <c r="F1310">
        <v>101100</v>
      </c>
      <c r="G1310" t="s">
        <v>158</v>
      </c>
    </row>
    <row r="1311" spans="1:7" x14ac:dyDescent="0.3">
      <c r="A1311" s="42">
        <v>46004</v>
      </c>
      <c r="B1311" s="43">
        <v>0.95482638888888893</v>
      </c>
      <c r="C1311" t="s">
        <v>155</v>
      </c>
      <c r="D1311" t="s">
        <v>155</v>
      </c>
      <c r="E1311" t="s">
        <v>577</v>
      </c>
      <c r="F1311">
        <v>101100</v>
      </c>
      <c r="G1311" t="s">
        <v>158</v>
      </c>
    </row>
    <row r="1312" spans="1:7" x14ac:dyDescent="0.3">
      <c r="A1312" s="42">
        <v>46004</v>
      </c>
      <c r="B1312" s="43">
        <v>0.95475694444444448</v>
      </c>
      <c r="C1312" t="s">
        <v>155</v>
      </c>
      <c r="D1312" t="s">
        <v>155</v>
      </c>
      <c r="E1312" t="s">
        <v>621</v>
      </c>
      <c r="F1312">
        <v>108933</v>
      </c>
      <c r="G1312" t="s">
        <v>158</v>
      </c>
    </row>
    <row r="1313" spans="1:7" x14ac:dyDescent="0.3">
      <c r="A1313" s="42">
        <v>46004</v>
      </c>
      <c r="B1313" s="43">
        <v>0.95409722222222226</v>
      </c>
      <c r="C1313" t="s">
        <v>176</v>
      </c>
      <c r="D1313" t="s">
        <v>30</v>
      </c>
      <c r="E1313" t="s">
        <v>622</v>
      </c>
      <c r="F1313">
        <v>1</v>
      </c>
      <c r="G1313" t="s">
        <v>158</v>
      </c>
    </row>
    <row r="1314" spans="1:7" x14ac:dyDescent="0.3">
      <c r="A1314" s="42">
        <v>46004</v>
      </c>
      <c r="B1314" s="43">
        <v>0.92666666666666664</v>
      </c>
      <c r="C1314" t="s">
        <v>152</v>
      </c>
      <c r="D1314" t="s">
        <v>38</v>
      </c>
      <c r="E1314" t="s">
        <v>623</v>
      </c>
      <c r="F1314">
        <v>-40500</v>
      </c>
      <c r="G1314" t="s">
        <v>266</v>
      </c>
    </row>
    <row r="1315" spans="1:7" x14ac:dyDescent="0.3">
      <c r="A1315" s="42">
        <v>46004</v>
      </c>
      <c r="B1315" s="43">
        <v>0.84619212962962964</v>
      </c>
      <c r="C1315" t="s">
        <v>152</v>
      </c>
      <c r="D1315" t="s">
        <v>38</v>
      </c>
      <c r="E1315" t="s">
        <v>623</v>
      </c>
      <c r="F1315">
        <v>-23500</v>
      </c>
      <c r="G1315" t="s">
        <v>266</v>
      </c>
    </row>
    <row r="1316" spans="1:7" x14ac:dyDescent="0.3">
      <c r="A1316" s="42">
        <v>46004</v>
      </c>
      <c r="B1316" s="43">
        <v>0.82943287037037039</v>
      </c>
      <c r="C1316" t="s">
        <v>152</v>
      </c>
      <c r="D1316" t="s">
        <v>40</v>
      </c>
      <c r="E1316" t="s">
        <v>624</v>
      </c>
      <c r="F1316">
        <v>-465000</v>
      </c>
      <c r="G1316" t="s">
        <v>266</v>
      </c>
    </row>
    <row r="1317" spans="1:7" x14ac:dyDescent="0.3">
      <c r="A1317" s="42">
        <v>46004</v>
      </c>
      <c r="B1317" s="43">
        <v>0.79371527777777773</v>
      </c>
      <c r="C1317" t="s">
        <v>152</v>
      </c>
      <c r="D1317" t="s">
        <v>44</v>
      </c>
      <c r="E1317" t="s">
        <v>190</v>
      </c>
      <c r="F1317">
        <v>-54550</v>
      </c>
      <c r="G1317" t="s">
        <v>154</v>
      </c>
    </row>
    <row r="1318" spans="1:7" x14ac:dyDescent="0.3">
      <c r="A1318" s="42">
        <v>46004</v>
      </c>
      <c r="B1318" s="43">
        <v>0.71724537037037039</v>
      </c>
      <c r="C1318" t="s">
        <v>152</v>
      </c>
      <c r="D1318" t="s">
        <v>44</v>
      </c>
      <c r="E1318" t="s">
        <v>190</v>
      </c>
      <c r="F1318">
        <v>-40870</v>
      </c>
      <c r="G1318" t="s">
        <v>154</v>
      </c>
    </row>
    <row r="1319" spans="1:7" x14ac:dyDescent="0.3">
      <c r="A1319" s="42">
        <v>46004</v>
      </c>
      <c r="B1319" s="43">
        <v>0.71513888888888888</v>
      </c>
      <c r="C1319" t="s">
        <v>152</v>
      </c>
      <c r="D1319" t="s">
        <v>47</v>
      </c>
      <c r="E1319" t="s">
        <v>625</v>
      </c>
      <c r="F1319">
        <v>-8000</v>
      </c>
      <c r="G1319" t="s">
        <v>266</v>
      </c>
    </row>
    <row r="1320" spans="1:7" x14ac:dyDescent="0.3">
      <c r="A1320" s="42">
        <v>46004</v>
      </c>
      <c r="B1320" s="43">
        <v>0.69597222222222221</v>
      </c>
      <c r="C1320" t="s">
        <v>155</v>
      </c>
      <c r="D1320" t="s">
        <v>155</v>
      </c>
      <c r="E1320" t="s">
        <v>626</v>
      </c>
      <c r="F1320">
        <v>-3000</v>
      </c>
      <c r="G1320" t="s">
        <v>158</v>
      </c>
    </row>
    <row r="1321" spans="1:7" x14ac:dyDescent="0.3">
      <c r="A1321" s="42">
        <v>46004</v>
      </c>
      <c r="B1321" s="43">
        <v>0.67291666666666672</v>
      </c>
      <c r="C1321" t="s">
        <v>155</v>
      </c>
      <c r="D1321" t="s">
        <v>155</v>
      </c>
      <c r="E1321" t="s">
        <v>627</v>
      </c>
      <c r="F1321">
        <v>11000</v>
      </c>
      <c r="G1321" t="s">
        <v>158</v>
      </c>
    </row>
    <row r="1322" spans="1:7" x14ac:dyDescent="0.3">
      <c r="A1322" s="42">
        <v>46004</v>
      </c>
      <c r="B1322" s="43">
        <v>0.42026620370370371</v>
      </c>
      <c r="C1322" t="s">
        <v>152</v>
      </c>
      <c r="D1322" t="s">
        <v>36</v>
      </c>
      <c r="E1322" t="s">
        <v>274</v>
      </c>
      <c r="F1322">
        <v>-1340</v>
      </c>
      <c r="G1322" t="s">
        <v>161</v>
      </c>
    </row>
    <row r="1323" spans="1:7" x14ac:dyDescent="0.3">
      <c r="A1323" s="42">
        <v>46004</v>
      </c>
      <c r="B1323" s="43">
        <v>1.0613425925925931E-2</v>
      </c>
      <c r="C1323" t="s">
        <v>155</v>
      </c>
      <c r="D1323" t="s">
        <v>163</v>
      </c>
      <c r="E1323" t="s">
        <v>7</v>
      </c>
      <c r="F1323">
        <v>-2000000</v>
      </c>
      <c r="G1323" t="s">
        <v>67</v>
      </c>
    </row>
    <row r="1324" spans="1:7" x14ac:dyDescent="0.3">
      <c r="A1324" s="42">
        <v>46003</v>
      </c>
      <c r="B1324" s="43">
        <v>0.98439814814814819</v>
      </c>
      <c r="C1324" t="s">
        <v>152</v>
      </c>
      <c r="D1324" t="s">
        <v>37</v>
      </c>
      <c r="E1324" t="s">
        <v>498</v>
      </c>
      <c r="F1324">
        <v>-18500</v>
      </c>
      <c r="G1324" t="s">
        <v>266</v>
      </c>
    </row>
    <row r="1325" spans="1:7" x14ac:dyDescent="0.3">
      <c r="A1325" s="42">
        <v>46003</v>
      </c>
      <c r="B1325" s="43">
        <v>0.81628472222222226</v>
      </c>
      <c r="C1325" t="s">
        <v>152</v>
      </c>
      <c r="D1325" t="s">
        <v>47</v>
      </c>
      <c r="E1325" t="s">
        <v>374</v>
      </c>
      <c r="F1325">
        <v>-50000</v>
      </c>
      <c r="G1325" t="s">
        <v>266</v>
      </c>
    </row>
    <row r="1326" spans="1:7" x14ac:dyDescent="0.3">
      <c r="A1326" s="42">
        <v>46003</v>
      </c>
      <c r="B1326" s="43">
        <v>0.44559027777777782</v>
      </c>
      <c r="C1326" t="s">
        <v>152</v>
      </c>
      <c r="D1326" t="s">
        <v>44</v>
      </c>
      <c r="E1326" t="s">
        <v>159</v>
      </c>
      <c r="F1326">
        <v>-8900</v>
      </c>
      <c r="G1326" t="s">
        <v>154</v>
      </c>
    </row>
    <row r="1327" spans="1:7" x14ac:dyDescent="0.3">
      <c r="A1327" s="42">
        <v>46003</v>
      </c>
      <c r="B1327" s="43">
        <v>0.42365740740740743</v>
      </c>
      <c r="C1327" t="s">
        <v>152</v>
      </c>
      <c r="D1327" t="s">
        <v>36</v>
      </c>
      <c r="E1327" t="s">
        <v>274</v>
      </c>
      <c r="F1327">
        <v>-250</v>
      </c>
      <c r="G1327" t="s">
        <v>161</v>
      </c>
    </row>
    <row r="1328" spans="1:7" x14ac:dyDescent="0.3">
      <c r="A1328" s="42">
        <v>46003</v>
      </c>
      <c r="B1328" s="43">
        <v>0.42365740740740743</v>
      </c>
      <c r="C1328" t="s">
        <v>152</v>
      </c>
      <c r="D1328" t="s">
        <v>36</v>
      </c>
      <c r="E1328" t="s">
        <v>243</v>
      </c>
      <c r="F1328">
        <v>-1500</v>
      </c>
      <c r="G1328" t="s">
        <v>161</v>
      </c>
    </row>
    <row r="1329" spans="1:7" x14ac:dyDescent="0.3">
      <c r="A1329" s="42">
        <v>46002</v>
      </c>
      <c r="B1329" s="43">
        <v>0.77280092592592597</v>
      </c>
      <c r="C1329" t="s">
        <v>152</v>
      </c>
      <c r="D1329" t="s">
        <v>40</v>
      </c>
      <c r="E1329" t="s">
        <v>424</v>
      </c>
      <c r="F1329">
        <v>-4000</v>
      </c>
      <c r="G1329" t="s">
        <v>154</v>
      </c>
    </row>
    <row r="1330" spans="1:7" x14ac:dyDescent="0.3">
      <c r="A1330" s="42">
        <v>46002</v>
      </c>
      <c r="B1330" s="43">
        <v>0.43561342592592589</v>
      </c>
      <c r="C1330" t="s">
        <v>152</v>
      </c>
      <c r="D1330" t="s">
        <v>36</v>
      </c>
      <c r="E1330" t="s">
        <v>274</v>
      </c>
      <c r="F1330">
        <v>-1750</v>
      </c>
      <c r="G1330" t="s">
        <v>161</v>
      </c>
    </row>
    <row r="1331" spans="1:7" x14ac:dyDescent="0.3">
      <c r="A1331" s="42">
        <v>46001</v>
      </c>
      <c r="B1331" s="43">
        <v>0.96398148148148144</v>
      </c>
      <c r="C1331" t="s">
        <v>152</v>
      </c>
      <c r="D1331" t="s">
        <v>44</v>
      </c>
      <c r="E1331" t="s">
        <v>628</v>
      </c>
      <c r="F1331">
        <v>-9950</v>
      </c>
      <c r="G1331" t="s">
        <v>180</v>
      </c>
    </row>
    <row r="1332" spans="1:7" x14ac:dyDescent="0.3">
      <c r="A1332" s="42">
        <v>46001</v>
      </c>
      <c r="B1332" s="43">
        <v>0.95305555555555554</v>
      </c>
      <c r="C1332" t="s">
        <v>155</v>
      </c>
      <c r="D1332" t="s">
        <v>163</v>
      </c>
      <c r="E1332" t="s">
        <v>579</v>
      </c>
      <c r="F1332">
        <v>-921987</v>
      </c>
      <c r="G1332" t="s">
        <v>61</v>
      </c>
    </row>
    <row r="1333" spans="1:7" x14ac:dyDescent="0.3">
      <c r="A1333" s="42">
        <v>46001</v>
      </c>
      <c r="B1333" s="43">
        <v>0.84318287037037032</v>
      </c>
      <c r="C1333" t="s">
        <v>152</v>
      </c>
      <c r="D1333" t="s">
        <v>36</v>
      </c>
      <c r="E1333" t="s">
        <v>629</v>
      </c>
      <c r="F1333">
        <v>-15100</v>
      </c>
      <c r="G1333" t="s">
        <v>154</v>
      </c>
    </row>
    <row r="1334" spans="1:7" x14ac:dyDescent="0.3">
      <c r="A1334" s="42">
        <v>46001</v>
      </c>
      <c r="B1334" s="43">
        <v>0.823125</v>
      </c>
      <c r="C1334" t="s">
        <v>152</v>
      </c>
      <c r="D1334" t="s">
        <v>36</v>
      </c>
      <c r="E1334" t="s">
        <v>630</v>
      </c>
      <c r="F1334">
        <v>-14700</v>
      </c>
      <c r="G1334" t="s">
        <v>236</v>
      </c>
    </row>
    <row r="1335" spans="1:7" x14ac:dyDescent="0.3">
      <c r="A1335" s="42">
        <v>46001</v>
      </c>
      <c r="B1335" s="43">
        <v>0.823125</v>
      </c>
      <c r="C1335" t="s">
        <v>152</v>
      </c>
      <c r="D1335" t="s">
        <v>36</v>
      </c>
      <c r="E1335" t="s">
        <v>630</v>
      </c>
      <c r="F1335">
        <v>14700</v>
      </c>
      <c r="G1335" t="s">
        <v>236</v>
      </c>
    </row>
    <row r="1336" spans="1:7" x14ac:dyDescent="0.3">
      <c r="A1336" s="42">
        <v>46001</v>
      </c>
      <c r="B1336" s="43">
        <v>0.81295138888888885</v>
      </c>
      <c r="C1336" t="s">
        <v>152</v>
      </c>
      <c r="D1336" t="s">
        <v>36</v>
      </c>
      <c r="E1336" t="s">
        <v>630</v>
      </c>
      <c r="F1336">
        <v>-15800</v>
      </c>
      <c r="G1336" t="s">
        <v>236</v>
      </c>
    </row>
    <row r="1337" spans="1:7" x14ac:dyDescent="0.3">
      <c r="A1337" s="42">
        <v>46001</v>
      </c>
      <c r="B1337" s="43">
        <v>0.81295138888888885</v>
      </c>
      <c r="C1337" t="s">
        <v>152</v>
      </c>
      <c r="D1337" t="s">
        <v>36</v>
      </c>
      <c r="E1337" t="s">
        <v>630</v>
      </c>
      <c r="F1337">
        <v>15800</v>
      </c>
      <c r="G1337" t="s">
        <v>236</v>
      </c>
    </row>
    <row r="1338" spans="1:7" x14ac:dyDescent="0.3">
      <c r="A1338" s="42">
        <v>46001</v>
      </c>
      <c r="B1338" s="43">
        <v>0.81157407407407411</v>
      </c>
      <c r="C1338" t="s">
        <v>152</v>
      </c>
      <c r="D1338" t="s">
        <v>36</v>
      </c>
      <c r="E1338" t="s">
        <v>630</v>
      </c>
      <c r="F1338">
        <v>15800</v>
      </c>
      <c r="G1338" t="s">
        <v>236</v>
      </c>
    </row>
    <row r="1339" spans="1:7" x14ac:dyDescent="0.3">
      <c r="A1339" s="42">
        <v>46001</v>
      </c>
      <c r="B1339" s="43">
        <v>0.81156249999999996</v>
      </c>
      <c r="C1339" t="s">
        <v>152</v>
      </c>
      <c r="D1339" t="s">
        <v>36</v>
      </c>
      <c r="E1339" t="s">
        <v>630</v>
      </c>
      <c r="F1339">
        <v>-15800</v>
      </c>
      <c r="G1339" t="s">
        <v>236</v>
      </c>
    </row>
    <row r="1340" spans="1:7" x14ac:dyDescent="0.3">
      <c r="A1340" s="42">
        <v>46001</v>
      </c>
      <c r="B1340" s="43">
        <v>0.79479166666666667</v>
      </c>
      <c r="C1340" t="s">
        <v>152</v>
      </c>
      <c r="D1340" t="s">
        <v>42</v>
      </c>
      <c r="E1340" t="s">
        <v>631</v>
      </c>
      <c r="F1340">
        <v>-11900</v>
      </c>
      <c r="G1340" t="s">
        <v>154</v>
      </c>
    </row>
    <row r="1341" spans="1:7" x14ac:dyDescent="0.3">
      <c r="A1341" s="42">
        <v>46001</v>
      </c>
      <c r="B1341" s="43">
        <v>0.69795138888888886</v>
      </c>
      <c r="C1341" t="s">
        <v>176</v>
      </c>
      <c r="D1341" t="s">
        <v>32</v>
      </c>
      <c r="E1341" t="s">
        <v>177</v>
      </c>
      <c r="F1341">
        <v>182100</v>
      </c>
      <c r="G1341" t="s">
        <v>61</v>
      </c>
    </row>
    <row r="1342" spans="1:7" x14ac:dyDescent="0.3">
      <c r="A1342" s="42">
        <v>46001</v>
      </c>
      <c r="B1342" s="43">
        <v>0.68957175925925929</v>
      </c>
      <c r="C1342" t="s">
        <v>152</v>
      </c>
      <c r="D1342" t="s">
        <v>44</v>
      </c>
      <c r="E1342" t="s">
        <v>179</v>
      </c>
      <c r="F1342">
        <v>-34900</v>
      </c>
      <c r="G1342" t="s">
        <v>180</v>
      </c>
    </row>
    <row r="1343" spans="1:7" x14ac:dyDescent="0.3">
      <c r="A1343" s="42">
        <v>46001</v>
      </c>
      <c r="B1343" s="43">
        <v>0.65516203703703701</v>
      </c>
      <c r="C1343" t="s">
        <v>152</v>
      </c>
      <c r="D1343" t="s">
        <v>40</v>
      </c>
      <c r="E1343" t="s">
        <v>434</v>
      </c>
      <c r="F1343">
        <v>-6800</v>
      </c>
      <c r="G1343" t="s">
        <v>154</v>
      </c>
    </row>
    <row r="1344" spans="1:7" x14ac:dyDescent="0.3">
      <c r="A1344" s="42">
        <v>46001</v>
      </c>
      <c r="B1344" s="43">
        <v>0.48436342592592591</v>
      </c>
      <c r="C1344" t="s">
        <v>176</v>
      </c>
      <c r="D1344" t="s">
        <v>28</v>
      </c>
      <c r="E1344" t="s">
        <v>178</v>
      </c>
      <c r="F1344">
        <v>20000</v>
      </c>
      <c r="G1344" t="s">
        <v>61</v>
      </c>
    </row>
    <row r="1345" spans="1:7" x14ac:dyDescent="0.3">
      <c r="A1345" s="42">
        <v>46001</v>
      </c>
      <c r="B1345" s="43">
        <v>0.27687499999999998</v>
      </c>
      <c r="C1345" t="s">
        <v>152</v>
      </c>
      <c r="D1345" t="s">
        <v>40</v>
      </c>
      <c r="E1345" t="s">
        <v>571</v>
      </c>
      <c r="F1345">
        <v>-5500</v>
      </c>
      <c r="G1345" t="s">
        <v>154</v>
      </c>
    </row>
    <row r="1346" spans="1:7" x14ac:dyDescent="0.3">
      <c r="A1346" s="42">
        <v>46001</v>
      </c>
      <c r="B1346" s="43">
        <v>4.2372685185185187E-2</v>
      </c>
      <c r="C1346" t="s">
        <v>152</v>
      </c>
      <c r="D1346" t="s">
        <v>48</v>
      </c>
      <c r="E1346" t="s">
        <v>308</v>
      </c>
      <c r="F1346">
        <v>-15180</v>
      </c>
      <c r="G1346" t="s">
        <v>154</v>
      </c>
    </row>
    <row r="1347" spans="1:7" x14ac:dyDescent="0.3">
      <c r="A1347" s="42">
        <v>46000</v>
      </c>
      <c r="B1347" s="43">
        <v>0.75192129629629634</v>
      </c>
      <c r="C1347" t="s">
        <v>155</v>
      </c>
      <c r="D1347" t="s">
        <v>155</v>
      </c>
      <c r="E1347" t="s">
        <v>166</v>
      </c>
      <c r="F1347">
        <v>-50000</v>
      </c>
      <c r="G1347" t="s">
        <v>61</v>
      </c>
    </row>
    <row r="1348" spans="1:7" x14ac:dyDescent="0.3">
      <c r="A1348" s="42">
        <v>46000</v>
      </c>
      <c r="B1348" s="43">
        <v>0.61436342592592597</v>
      </c>
      <c r="C1348" t="s">
        <v>152</v>
      </c>
      <c r="D1348" t="s">
        <v>49</v>
      </c>
      <c r="E1348" t="s">
        <v>288</v>
      </c>
      <c r="F1348">
        <v>-10600</v>
      </c>
      <c r="G1348" t="s">
        <v>180</v>
      </c>
    </row>
    <row r="1349" spans="1:7" x14ac:dyDescent="0.3">
      <c r="A1349" s="42">
        <v>46000</v>
      </c>
      <c r="B1349" s="43">
        <v>0.50428240740740737</v>
      </c>
      <c r="C1349" t="s">
        <v>152</v>
      </c>
      <c r="D1349" t="s">
        <v>42</v>
      </c>
      <c r="E1349" t="s">
        <v>632</v>
      </c>
      <c r="F1349">
        <v>-19800</v>
      </c>
      <c r="G1349" t="s">
        <v>180</v>
      </c>
    </row>
    <row r="1350" spans="1:7" x14ac:dyDescent="0.3">
      <c r="A1350" s="42">
        <v>46000</v>
      </c>
      <c r="B1350" s="43">
        <v>4.2372685185185187E-2</v>
      </c>
      <c r="C1350" t="s">
        <v>152</v>
      </c>
      <c r="D1350" t="s">
        <v>48</v>
      </c>
      <c r="E1350" t="s">
        <v>311</v>
      </c>
      <c r="F1350">
        <v>-31700</v>
      </c>
      <c r="G1350" t="s">
        <v>154</v>
      </c>
    </row>
    <row r="1351" spans="1:7" x14ac:dyDescent="0.3">
      <c r="A1351" s="42">
        <v>46000</v>
      </c>
      <c r="B1351" s="43">
        <v>4.2372685185185187E-2</v>
      </c>
      <c r="C1351" t="s">
        <v>152</v>
      </c>
      <c r="D1351" t="s">
        <v>48</v>
      </c>
      <c r="E1351" t="s">
        <v>311</v>
      </c>
      <c r="F1351">
        <v>-39930</v>
      </c>
      <c r="G1351" t="s">
        <v>154</v>
      </c>
    </row>
    <row r="1352" spans="1:7" x14ac:dyDescent="0.3">
      <c r="A1352" s="42">
        <v>45999</v>
      </c>
      <c r="B1352" s="43">
        <v>0.95505787037037038</v>
      </c>
      <c r="C1352" t="s">
        <v>155</v>
      </c>
      <c r="D1352" t="s">
        <v>163</v>
      </c>
      <c r="E1352" t="s">
        <v>579</v>
      </c>
      <c r="F1352">
        <v>-1857320</v>
      </c>
      <c r="G1352" t="s">
        <v>61</v>
      </c>
    </row>
    <row r="1353" spans="1:7" x14ac:dyDescent="0.3">
      <c r="A1353" s="42">
        <v>45999</v>
      </c>
      <c r="B1353" s="43">
        <v>0.67861111111111116</v>
      </c>
      <c r="C1353" t="s">
        <v>152</v>
      </c>
      <c r="D1353" t="s">
        <v>45</v>
      </c>
      <c r="E1353" t="s">
        <v>616</v>
      </c>
      <c r="F1353">
        <v>-119600</v>
      </c>
      <c r="G1353" t="s">
        <v>182</v>
      </c>
    </row>
    <row r="1354" spans="1:7" x14ac:dyDescent="0.3">
      <c r="A1354" s="42">
        <v>45999</v>
      </c>
      <c r="B1354" s="43">
        <v>0.50173611111111116</v>
      </c>
      <c r="C1354" t="s">
        <v>152</v>
      </c>
      <c r="D1354" t="s">
        <v>44</v>
      </c>
      <c r="E1354" t="s">
        <v>633</v>
      </c>
      <c r="F1354">
        <v>-11400</v>
      </c>
      <c r="G1354" t="s">
        <v>180</v>
      </c>
    </row>
    <row r="1355" spans="1:7" x14ac:dyDescent="0.3">
      <c r="A1355" s="42">
        <v>45999</v>
      </c>
      <c r="B1355" s="43">
        <v>0.43035879629629631</v>
      </c>
      <c r="C1355" t="s">
        <v>152</v>
      </c>
      <c r="D1355" t="s">
        <v>36</v>
      </c>
      <c r="E1355" t="s">
        <v>244</v>
      </c>
      <c r="F1355">
        <v>-3990</v>
      </c>
      <c r="G1355" t="s">
        <v>161</v>
      </c>
    </row>
    <row r="1356" spans="1:7" x14ac:dyDescent="0.3">
      <c r="A1356" s="42">
        <v>45998</v>
      </c>
      <c r="B1356" s="43">
        <v>0.75878472222222226</v>
      </c>
      <c r="C1356" t="s">
        <v>152</v>
      </c>
      <c r="D1356" t="s">
        <v>47</v>
      </c>
      <c r="E1356" t="s">
        <v>372</v>
      </c>
      <c r="F1356">
        <v>-1800</v>
      </c>
      <c r="G1356" t="s">
        <v>236</v>
      </c>
    </row>
    <row r="1357" spans="1:7" x14ac:dyDescent="0.3">
      <c r="A1357" s="42">
        <v>45998</v>
      </c>
      <c r="B1357" s="43">
        <v>0.68736111111111109</v>
      </c>
      <c r="C1357" t="s">
        <v>152</v>
      </c>
      <c r="D1357" t="s">
        <v>47</v>
      </c>
      <c r="E1357" t="s">
        <v>372</v>
      </c>
      <c r="F1357">
        <v>-600</v>
      </c>
      <c r="G1357" t="s">
        <v>236</v>
      </c>
    </row>
    <row r="1358" spans="1:7" x14ac:dyDescent="0.3">
      <c r="A1358" s="42">
        <v>45998</v>
      </c>
      <c r="B1358" s="43">
        <v>0.63996527777777779</v>
      </c>
      <c r="C1358" t="s">
        <v>152</v>
      </c>
      <c r="D1358" t="s">
        <v>47</v>
      </c>
      <c r="E1358" t="s">
        <v>634</v>
      </c>
      <c r="F1358">
        <v>-400</v>
      </c>
      <c r="G1358" t="s">
        <v>180</v>
      </c>
    </row>
    <row r="1359" spans="1:7" x14ac:dyDescent="0.3">
      <c r="A1359" s="42">
        <v>45998</v>
      </c>
      <c r="B1359" s="43">
        <v>0.62968749999999996</v>
      </c>
      <c r="C1359" t="s">
        <v>152</v>
      </c>
      <c r="D1359" t="s">
        <v>49</v>
      </c>
      <c r="E1359" t="s">
        <v>635</v>
      </c>
      <c r="F1359">
        <v>-4700</v>
      </c>
      <c r="G1359" t="s">
        <v>180</v>
      </c>
    </row>
    <row r="1360" spans="1:7" x14ac:dyDescent="0.3">
      <c r="A1360" s="42">
        <v>45998</v>
      </c>
      <c r="B1360" s="43">
        <v>0.43833333333333341</v>
      </c>
      <c r="C1360" t="s">
        <v>152</v>
      </c>
      <c r="D1360" t="s">
        <v>44</v>
      </c>
      <c r="E1360" t="s">
        <v>159</v>
      </c>
      <c r="F1360">
        <v>-8900</v>
      </c>
      <c r="G1360" t="s">
        <v>154</v>
      </c>
    </row>
    <row r="1361" spans="1:7" x14ac:dyDescent="0.3">
      <c r="A1361" s="42">
        <v>45998</v>
      </c>
      <c r="B1361" s="43">
        <v>0.4183101851851852</v>
      </c>
      <c r="C1361" t="s">
        <v>152</v>
      </c>
      <c r="D1361" t="s">
        <v>36</v>
      </c>
      <c r="E1361" t="s">
        <v>274</v>
      </c>
      <c r="F1361">
        <v>-1750</v>
      </c>
      <c r="G1361" t="s">
        <v>161</v>
      </c>
    </row>
    <row r="1362" spans="1:7" x14ac:dyDescent="0.3">
      <c r="A1362" s="42">
        <v>45997</v>
      </c>
      <c r="B1362" s="43">
        <v>0.6607291666666667</v>
      </c>
      <c r="C1362" t="s">
        <v>152</v>
      </c>
      <c r="D1362" t="s">
        <v>40</v>
      </c>
      <c r="E1362" t="s">
        <v>425</v>
      </c>
      <c r="F1362">
        <v>-1000</v>
      </c>
      <c r="G1362" t="s">
        <v>180</v>
      </c>
    </row>
    <row r="1363" spans="1:7" x14ac:dyDescent="0.3">
      <c r="A1363" s="42">
        <v>45997</v>
      </c>
      <c r="B1363" s="43">
        <v>0.64247685185185188</v>
      </c>
      <c r="C1363" t="s">
        <v>152</v>
      </c>
      <c r="D1363" t="s">
        <v>50</v>
      </c>
      <c r="E1363" t="s">
        <v>352</v>
      </c>
      <c r="F1363">
        <v>-29900</v>
      </c>
      <c r="G1363" t="s">
        <v>180</v>
      </c>
    </row>
    <row r="1364" spans="1:7" x14ac:dyDescent="0.3">
      <c r="A1364" s="42">
        <v>45997</v>
      </c>
      <c r="B1364" s="43">
        <v>0.5786458333333333</v>
      </c>
      <c r="C1364" t="s">
        <v>152</v>
      </c>
      <c r="D1364" t="s">
        <v>50</v>
      </c>
      <c r="E1364" t="s">
        <v>353</v>
      </c>
      <c r="F1364">
        <v>-1000</v>
      </c>
      <c r="G1364" t="s">
        <v>180</v>
      </c>
    </row>
    <row r="1365" spans="1:7" x14ac:dyDescent="0.3">
      <c r="A1365" s="42">
        <v>45997</v>
      </c>
      <c r="B1365" s="43">
        <v>0.56049768518518517</v>
      </c>
      <c r="C1365" t="s">
        <v>152</v>
      </c>
      <c r="D1365" t="s">
        <v>50</v>
      </c>
      <c r="E1365" t="s">
        <v>353</v>
      </c>
      <c r="F1365">
        <v>-32400</v>
      </c>
      <c r="G1365" t="s">
        <v>180</v>
      </c>
    </row>
    <row r="1366" spans="1:7" x14ac:dyDescent="0.3">
      <c r="A1366" s="42">
        <v>45996</v>
      </c>
      <c r="B1366" s="43">
        <v>0.86875000000000002</v>
      </c>
      <c r="C1366" t="s">
        <v>152</v>
      </c>
      <c r="D1366" t="s">
        <v>44</v>
      </c>
      <c r="E1366" t="s">
        <v>636</v>
      </c>
      <c r="F1366">
        <v>-115620</v>
      </c>
      <c r="G1366" t="s">
        <v>154</v>
      </c>
    </row>
    <row r="1367" spans="1:7" x14ac:dyDescent="0.3">
      <c r="A1367" s="42">
        <v>45996</v>
      </c>
      <c r="B1367" s="43">
        <v>0.86793981481481486</v>
      </c>
      <c r="C1367" t="s">
        <v>152</v>
      </c>
      <c r="D1367" t="s">
        <v>44</v>
      </c>
      <c r="E1367" t="s">
        <v>636</v>
      </c>
      <c r="F1367">
        <v>-115620</v>
      </c>
      <c r="G1367" t="s">
        <v>154</v>
      </c>
    </row>
    <row r="1368" spans="1:7" x14ac:dyDescent="0.3">
      <c r="A1368" s="42">
        <v>45996</v>
      </c>
      <c r="B1368" s="43">
        <v>0.68409722222222225</v>
      </c>
      <c r="C1368" t="s">
        <v>152</v>
      </c>
      <c r="D1368" t="s">
        <v>49</v>
      </c>
      <c r="E1368" t="s">
        <v>637</v>
      </c>
      <c r="F1368">
        <v>-5500</v>
      </c>
      <c r="G1368" t="s">
        <v>186</v>
      </c>
    </row>
    <row r="1369" spans="1:7" x14ac:dyDescent="0.3">
      <c r="A1369" s="42">
        <v>45996</v>
      </c>
      <c r="B1369" s="43">
        <v>0.66271990740740738</v>
      </c>
      <c r="C1369" t="s">
        <v>152</v>
      </c>
      <c r="D1369" t="s">
        <v>42</v>
      </c>
      <c r="E1369" t="s">
        <v>638</v>
      </c>
      <c r="F1369">
        <v>-12400</v>
      </c>
      <c r="G1369" t="s">
        <v>186</v>
      </c>
    </row>
    <row r="1370" spans="1:7" x14ac:dyDescent="0.3">
      <c r="A1370" s="42">
        <v>45996</v>
      </c>
      <c r="B1370" s="43">
        <v>0.60883101851851851</v>
      </c>
      <c r="C1370" t="s">
        <v>152</v>
      </c>
      <c r="D1370" t="s">
        <v>43</v>
      </c>
      <c r="E1370" t="s">
        <v>521</v>
      </c>
      <c r="F1370">
        <v>-39600</v>
      </c>
      <c r="G1370" t="s">
        <v>154</v>
      </c>
    </row>
    <row r="1371" spans="1:7" x14ac:dyDescent="0.3">
      <c r="A1371" s="42">
        <v>45996</v>
      </c>
      <c r="B1371" s="43">
        <v>0.57908564814814811</v>
      </c>
      <c r="C1371" t="s">
        <v>152</v>
      </c>
      <c r="D1371" t="s">
        <v>49</v>
      </c>
      <c r="E1371" t="s">
        <v>288</v>
      </c>
      <c r="F1371">
        <v>-20000</v>
      </c>
      <c r="G1371" t="s">
        <v>154</v>
      </c>
    </row>
    <row r="1372" spans="1:7" x14ac:dyDescent="0.3">
      <c r="A1372" s="42">
        <v>45996</v>
      </c>
      <c r="B1372" s="43">
        <v>0.54202546296296295</v>
      </c>
      <c r="C1372" t="s">
        <v>152</v>
      </c>
      <c r="D1372" t="s">
        <v>44</v>
      </c>
      <c r="E1372" t="s">
        <v>190</v>
      </c>
      <c r="F1372">
        <v>-7880</v>
      </c>
      <c r="G1372" t="s">
        <v>154</v>
      </c>
    </row>
    <row r="1373" spans="1:7" x14ac:dyDescent="0.3">
      <c r="A1373" s="42">
        <v>45996</v>
      </c>
      <c r="B1373" s="43">
        <v>0.54006944444444449</v>
      </c>
      <c r="C1373" t="s">
        <v>152</v>
      </c>
      <c r="D1373" t="s">
        <v>44</v>
      </c>
      <c r="E1373" t="s">
        <v>190</v>
      </c>
      <c r="F1373">
        <v>-14970</v>
      </c>
      <c r="G1373" t="s">
        <v>154</v>
      </c>
    </row>
    <row r="1374" spans="1:7" x14ac:dyDescent="0.3">
      <c r="A1374" s="42">
        <v>45996</v>
      </c>
      <c r="B1374" s="43">
        <v>0.42267361111111112</v>
      </c>
      <c r="C1374" t="s">
        <v>152</v>
      </c>
      <c r="D1374" t="s">
        <v>36</v>
      </c>
      <c r="E1374" t="s">
        <v>274</v>
      </c>
      <c r="F1374">
        <v>-1750</v>
      </c>
      <c r="G1374" t="s">
        <v>161</v>
      </c>
    </row>
    <row r="1375" spans="1:7" x14ac:dyDescent="0.3">
      <c r="A1375" s="42">
        <v>45996</v>
      </c>
      <c r="B1375" s="43">
        <v>0.40537037037037038</v>
      </c>
      <c r="C1375" t="s">
        <v>155</v>
      </c>
      <c r="D1375" t="s">
        <v>155</v>
      </c>
      <c r="E1375" t="s">
        <v>7</v>
      </c>
      <c r="F1375">
        <v>-1152835</v>
      </c>
      <c r="G1375" t="s">
        <v>78</v>
      </c>
    </row>
    <row r="1376" spans="1:7" x14ac:dyDescent="0.3">
      <c r="A1376" s="42">
        <v>45996</v>
      </c>
      <c r="B1376" s="43">
        <v>0.40537037037037038</v>
      </c>
      <c r="C1376" t="s">
        <v>155</v>
      </c>
      <c r="D1376" t="s">
        <v>163</v>
      </c>
      <c r="E1376" t="s">
        <v>579</v>
      </c>
      <c r="F1376">
        <v>-1152835</v>
      </c>
      <c r="G1376" t="s">
        <v>61</v>
      </c>
    </row>
    <row r="1377" spans="1:7" x14ac:dyDescent="0.3">
      <c r="A1377" s="42">
        <v>45996</v>
      </c>
      <c r="B1377" s="43">
        <v>0.40535879629629629</v>
      </c>
      <c r="C1377" t="s">
        <v>155</v>
      </c>
      <c r="D1377" t="s">
        <v>155</v>
      </c>
      <c r="E1377" t="s">
        <v>7</v>
      </c>
      <c r="F1377">
        <v>-2000000</v>
      </c>
      <c r="G1377" t="s">
        <v>78</v>
      </c>
    </row>
    <row r="1378" spans="1:7" x14ac:dyDescent="0.3">
      <c r="A1378" s="42">
        <v>45996</v>
      </c>
      <c r="B1378" s="43">
        <v>0.40535879629629629</v>
      </c>
      <c r="C1378" t="s">
        <v>155</v>
      </c>
      <c r="D1378" t="s">
        <v>163</v>
      </c>
      <c r="E1378" t="s">
        <v>7</v>
      </c>
      <c r="F1378">
        <v>1152835</v>
      </c>
      <c r="G1378" t="s">
        <v>78</v>
      </c>
    </row>
    <row r="1379" spans="1:7" x14ac:dyDescent="0.3">
      <c r="A1379" s="42">
        <v>45996</v>
      </c>
      <c r="B1379" s="43">
        <v>0.40534722222222219</v>
      </c>
      <c r="C1379" t="s">
        <v>155</v>
      </c>
      <c r="D1379" t="s">
        <v>163</v>
      </c>
      <c r="E1379" t="s">
        <v>7</v>
      </c>
      <c r="F1379">
        <v>2000000</v>
      </c>
      <c r="G1379" t="s">
        <v>78</v>
      </c>
    </row>
    <row r="1380" spans="1:7" x14ac:dyDescent="0.3">
      <c r="A1380" s="42">
        <v>45996</v>
      </c>
      <c r="B1380" s="43">
        <v>0.40534722222222219</v>
      </c>
      <c r="C1380" t="s">
        <v>155</v>
      </c>
      <c r="D1380" t="s">
        <v>163</v>
      </c>
      <c r="E1380" t="s">
        <v>579</v>
      </c>
      <c r="F1380">
        <v>-2000000</v>
      </c>
      <c r="G1380" t="s">
        <v>61</v>
      </c>
    </row>
    <row r="1381" spans="1:7" x14ac:dyDescent="0.3">
      <c r="A1381" s="42">
        <v>45996</v>
      </c>
      <c r="B1381" s="43">
        <v>0.32393518518518521</v>
      </c>
      <c r="C1381" t="s">
        <v>152</v>
      </c>
      <c r="D1381" t="s">
        <v>44</v>
      </c>
      <c r="E1381" t="s">
        <v>190</v>
      </c>
      <c r="F1381">
        <v>-15120</v>
      </c>
      <c r="G1381" t="s">
        <v>154</v>
      </c>
    </row>
    <row r="1382" spans="1:7" x14ac:dyDescent="0.3">
      <c r="A1382" s="42">
        <v>45995</v>
      </c>
      <c r="B1382" s="43">
        <v>0.8737152777777778</v>
      </c>
      <c r="C1382" t="s">
        <v>155</v>
      </c>
      <c r="D1382" t="s">
        <v>163</v>
      </c>
      <c r="E1382" t="s">
        <v>164</v>
      </c>
      <c r="F1382">
        <v>137000</v>
      </c>
      <c r="G1382" t="s">
        <v>158</v>
      </c>
    </row>
    <row r="1383" spans="1:7" x14ac:dyDescent="0.3">
      <c r="A1383" s="42">
        <v>45995</v>
      </c>
      <c r="B1383" s="43">
        <v>0.8737152777777778</v>
      </c>
      <c r="C1383" t="s">
        <v>155</v>
      </c>
      <c r="D1383" t="s">
        <v>155</v>
      </c>
      <c r="E1383" t="s">
        <v>488</v>
      </c>
      <c r="F1383">
        <v>-250000</v>
      </c>
      <c r="G1383" t="s">
        <v>158</v>
      </c>
    </row>
    <row r="1384" spans="1:7" x14ac:dyDescent="0.3">
      <c r="A1384" s="42">
        <v>45995</v>
      </c>
      <c r="B1384" s="43">
        <v>0.8737152777777778</v>
      </c>
      <c r="C1384" t="s">
        <v>155</v>
      </c>
      <c r="D1384" t="s">
        <v>163</v>
      </c>
      <c r="E1384" t="s">
        <v>166</v>
      </c>
      <c r="F1384">
        <v>-137000</v>
      </c>
      <c r="G1384" t="s">
        <v>61</v>
      </c>
    </row>
    <row r="1385" spans="1:7" x14ac:dyDescent="0.3">
      <c r="A1385" s="42">
        <v>45995</v>
      </c>
      <c r="B1385" s="43">
        <v>0.8734143518518519</v>
      </c>
      <c r="C1385" t="s">
        <v>155</v>
      </c>
      <c r="D1385" t="s">
        <v>155</v>
      </c>
      <c r="E1385" t="s">
        <v>210</v>
      </c>
      <c r="F1385">
        <v>213000</v>
      </c>
      <c r="G1385" t="s">
        <v>60</v>
      </c>
    </row>
    <row r="1386" spans="1:7" x14ac:dyDescent="0.3">
      <c r="A1386" s="42">
        <v>45995</v>
      </c>
      <c r="B1386" s="43">
        <v>0.72552083333333328</v>
      </c>
      <c r="C1386" t="s">
        <v>152</v>
      </c>
      <c r="D1386" t="s">
        <v>44</v>
      </c>
      <c r="E1386" t="s">
        <v>430</v>
      </c>
      <c r="F1386">
        <v>-17680</v>
      </c>
      <c r="G1386" t="s">
        <v>266</v>
      </c>
    </row>
    <row r="1387" spans="1:7" x14ac:dyDescent="0.3">
      <c r="A1387" s="42">
        <v>45995</v>
      </c>
      <c r="B1387" s="43">
        <v>0.72319444444444447</v>
      </c>
      <c r="C1387" t="s">
        <v>152</v>
      </c>
      <c r="D1387" t="s">
        <v>44</v>
      </c>
      <c r="E1387" t="s">
        <v>430</v>
      </c>
      <c r="F1387">
        <v>-22900</v>
      </c>
      <c r="G1387" t="s">
        <v>266</v>
      </c>
    </row>
    <row r="1388" spans="1:7" x14ac:dyDescent="0.3">
      <c r="A1388" s="42">
        <v>45995</v>
      </c>
      <c r="B1388" s="43">
        <v>0.64280092592592597</v>
      </c>
      <c r="C1388" t="s">
        <v>152</v>
      </c>
      <c r="D1388" t="s">
        <v>50</v>
      </c>
      <c r="E1388" t="s">
        <v>353</v>
      </c>
      <c r="F1388">
        <v>-1170</v>
      </c>
      <c r="G1388" t="s">
        <v>180</v>
      </c>
    </row>
    <row r="1389" spans="1:7" x14ac:dyDescent="0.3">
      <c r="A1389" s="42">
        <v>45995</v>
      </c>
      <c r="B1389" s="43">
        <v>0.64116898148148149</v>
      </c>
      <c r="C1389" t="s">
        <v>152</v>
      </c>
      <c r="D1389" t="s">
        <v>50</v>
      </c>
      <c r="E1389" t="s">
        <v>353</v>
      </c>
      <c r="F1389">
        <v>-97020</v>
      </c>
      <c r="G1389" t="s">
        <v>180</v>
      </c>
    </row>
    <row r="1390" spans="1:7" x14ac:dyDescent="0.3">
      <c r="A1390" s="42">
        <v>45995</v>
      </c>
      <c r="B1390" s="43">
        <v>0.41998842592592589</v>
      </c>
      <c r="C1390" t="s">
        <v>152</v>
      </c>
      <c r="D1390" t="s">
        <v>36</v>
      </c>
      <c r="E1390" t="s">
        <v>244</v>
      </c>
      <c r="F1390">
        <v>-500</v>
      </c>
      <c r="G1390" t="s">
        <v>161</v>
      </c>
    </row>
    <row r="1391" spans="1:7" x14ac:dyDescent="0.3">
      <c r="A1391" s="42">
        <v>45995</v>
      </c>
      <c r="B1391" s="43">
        <v>0.41998842592592589</v>
      </c>
      <c r="C1391" t="s">
        <v>152</v>
      </c>
      <c r="D1391" t="s">
        <v>36</v>
      </c>
      <c r="E1391" t="s">
        <v>226</v>
      </c>
      <c r="F1391">
        <v>-3000</v>
      </c>
      <c r="G1391" t="s">
        <v>161</v>
      </c>
    </row>
    <row r="1392" spans="1:7" x14ac:dyDescent="0.3">
      <c r="A1392" s="42">
        <v>45995</v>
      </c>
      <c r="B1392" s="43">
        <v>0.39019675925925928</v>
      </c>
      <c r="C1392" t="s">
        <v>152</v>
      </c>
      <c r="D1392" t="s">
        <v>44</v>
      </c>
      <c r="E1392" t="s">
        <v>190</v>
      </c>
      <c r="F1392">
        <v>-6500</v>
      </c>
      <c r="G1392" t="s">
        <v>154</v>
      </c>
    </row>
    <row r="1393" spans="1:7" x14ac:dyDescent="0.3">
      <c r="A1393" s="42">
        <v>45995</v>
      </c>
      <c r="B1393" s="43">
        <v>0</v>
      </c>
      <c r="C1393" t="s">
        <v>152</v>
      </c>
      <c r="D1393" t="s">
        <v>38</v>
      </c>
      <c r="E1393" t="s">
        <v>639</v>
      </c>
      <c r="F1393">
        <v>165000</v>
      </c>
      <c r="G1393" t="s">
        <v>186</v>
      </c>
    </row>
    <row r="1394" spans="1:7" x14ac:dyDescent="0.3">
      <c r="A1394" s="42">
        <v>45994</v>
      </c>
      <c r="B1394" s="43">
        <v>0.8341898148148148</v>
      </c>
      <c r="C1394" t="s">
        <v>152</v>
      </c>
      <c r="D1394" t="s">
        <v>38</v>
      </c>
      <c r="E1394" t="s">
        <v>640</v>
      </c>
      <c r="F1394">
        <v>-100000</v>
      </c>
      <c r="G1394" t="s">
        <v>60</v>
      </c>
    </row>
    <row r="1395" spans="1:7" x14ac:dyDescent="0.3">
      <c r="A1395" s="42">
        <v>45994</v>
      </c>
      <c r="B1395" s="43">
        <v>0.80688657407407405</v>
      </c>
      <c r="C1395" t="s">
        <v>152</v>
      </c>
      <c r="D1395" t="s">
        <v>43</v>
      </c>
      <c r="E1395" t="s">
        <v>526</v>
      </c>
      <c r="F1395">
        <v>-59600</v>
      </c>
      <c r="G1395" t="s">
        <v>180</v>
      </c>
    </row>
    <row r="1396" spans="1:7" x14ac:dyDescent="0.3">
      <c r="A1396" s="42">
        <v>45994</v>
      </c>
      <c r="B1396" s="43">
        <v>0.57809027777777777</v>
      </c>
      <c r="C1396" t="s">
        <v>152</v>
      </c>
      <c r="D1396" t="s">
        <v>45</v>
      </c>
      <c r="E1396" t="s">
        <v>616</v>
      </c>
      <c r="F1396">
        <v>-239200</v>
      </c>
      <c r="G1396" t="s">
        <v>182</v>
      </c>
    </row>
    <row r="1397" spans="1:7" x14ac:dyDescent="0.3">
      <c r="A1397" s="42">
        <v>45994</v>
      </c>
      <c r="B1397" s="43">
        <v>0.56497685185185187</v>
      </c>
      <c r="C1397" t="s">
        <v>152</v>
      </c>
      <c r="D1397" t="s">
        <v>42</v>
      </c>
      <c r="E1397" t="s">
        <v>641</v>
      </c>
      <c r="F1397">
        <v>-15900</v>
      </c>
      <c r="G1397" t="s">
        <v>186</v>
      </c>
    </row>
    <row r="1398" spans="1:7" x14ac:dyDescent="0.3">
      <c r="A1398" s="42">
        <v>45993</v>
      </c>
      <c r="B1398" s="43">
        <v>0.76954861111111106</v>
      </c>
      <c r="C1398" t="s">
        <v>152</v>
      </c>
      <c r="D1398" t="s">
        <v>50</v>
      </c>
      <c r="E1398" t="s">
        <v>642</v>
      </c>
      <c r="F1398">
        <v>-2380</v>
      </c>
      <c r="G1398" t="s">
        <v>199</v>
      </c>
    </row>
    <row r="1399" spans="1:7" x14ac:dyDescent="0.3">
      <c r="A1399" s="42">
        <v>45993</v>
      </c>
      <c r="B1399" s="43">
        <v>0.52396990740740745</v>
      </c>
      <c r="C1399" t="s">
        <v>155</v>
      </c>
      <c r="D1399" t="s">
        <v>155</v>
      </c>
      <c r="E1399" t="s">
        <v>643</v>
      </c>
      <c r="F1399">
        <v>13000</v>
      </c>
      <c r="G1399" t="s">
        <v>158</v>
      </c>
    </row>
    <row r="1400" spans="1:7" x14ac:dyDescent="0.3">
      <c r="A1400" s="42">
        <v>45993</v>
      </c>
      <c r="B1400" s="43">
        <v>0.51274305555555555</v>
      </c>
      <c r="C1400" t="s">
        <v>152</v>
      </c>
      <c r="D1400" t="s">
        <v>50</v>
      </c>
      <c r="E1400" t="s">
        <v>184</v>
      </c>
      <c r="F1400">
        <v>-3200</v>
      </c>
      <c r="G1400" t="s">
        <v>186</v>
      </c>
    </row>
    <row r="1401" spans="1:7" x14ac:dyDescent="0.3">
      <c r="A1401" s="42">
        <v>45993</v>
      </c>
      <c r="B1401" s="43">
        <v>0.51141203703703708</v>
      </c>
      <c r="C1401" t="s">
        <v>152</v>
      </c>
      <c r="D1401" t="s">
        <v>41</v>
      </c>
      <c r="E1401" t="s">
        <v>644</v>
      </c>
      <c r="F1401">
        <v>-23000</v>
      </c>
      <c r="G1401" t="s">
        <v>186</v>
      </c>
    </row>
    <row r="1402" spans="1:7" x14ac:dyDescent="0.3">
      <c r="A1402" s="42">
        <v>45993</v>
      </c>
      <c r="B1402" s="43">
        <v>0.36812499999999998</v>
      </c>
      <c r="C1402" t="s">
        <v>152</v>
      </c>
      <c r="D1402" t="s">
        <v>50</v>
      </c>
      <c r="E1402" t="s">
        <v>184</v>
      </c>
      <c r="F1402">
        <v>-1600</v>
      </c>
      <c r="G1402" t="s">
        <v>186</v>
      </c>
    </row>
    <row r="1403" spans="1:7" x14ac:dyDescent="0.3">
      <c r="A1403" s="42">
        <v>45993</v>
      </c>
      <c r="B1403" s="43">
        <v>0.33106481481481481</v>
      </c>
      <c r="C1403" t="s">
        <v>152</v>
      </c>
      <c r="D1403" t="s">
        <v>36</v>
      </c>
      <c r="E1403" t="s">
        <v>250</v>
      </c>
      <c r="F1403">
        <v>-45800</v>
      </c>
      <c r="G1403" t="s">
        <v>180</v>
      </c>
    </row>
    <row r="1404" spans="1:7" x14ac:dyDescent="0.3">
      <c r="A1404" s="42">
        <v>45993</v>
      </c>
      <c r="B1404" s="43">
        <v>0.32718750000000002</v>
      </c>
      <c r="C1404" t="s">
        <v>152</v>
      </c>
      <c r="D1404" t="s">
        <v>36</v>
      </c>
      <c r="E1404" t="s">
        <v>250</v>
      </c>
      <c r="F1404">
        <v>-45900</v>
      </c>
      <c r="G1404" t="s">
        <v>180</v>
      </c>
    </row>
    <row r="1405" spans="1:7" x14ac:dyDescent="0.3">
      <c r="A1405" s="42">
        <v>45992</v>
      </c>
      <c r="B1405" s="43">
        <v>0.91326388888888888</v>
      </c>
      <c r="C1405" t="s">
        <v>152</v>
      </c>
      <c r="D1405" t="s">
        <v>38</v>
      </c>
      <c r="E1405" t="s">
        <v>639</v>
      </c>
      <c r="F1405">
        <v>-165000</v>
      </c>
      <c r="G1405" t="s">
        <v>186</v>
      </c>
    </row>
    <row r="1406" spans="1:7" x14ac:dyDescent="0.3">
      <c r="A1406" s="42">
        <v>45992</v>
      </c>
      <c r="B1406" s="43">
        <v>0.81427083333333339</v>
      </c>
      <c r="C1406" t="s">
        <v>155</v>
      </c>
      <c r="D1406" t="s">
        <v>213</v>
      </c>
      <c r="E1406" t="s">
        <v>214</v>
      </c>
      <c r="F1406">
        <v>-82500</v>
      </c>
      <c r="G1406" t="s">
        <v>61</v>
      </c>
    </row>
    <row r="1407" spans="1:7" x14ac:dyDescent="0.3">
      <c r="A1407" s="42">
        <v>45992</v>
      </c>
      <c r="B1407" s="43">
        <v>0.81369212962962967</v>
      </c>
      <c r="C1407" t="s">
        <v>152</v>
      </c>
      <c r="D1407" t="s">
        <v>40</v>
      </c>
      <c r="E1407" t="s">
        <v>289</v>
      </c>
      <c r="F1407">
        <v>-4000</v>
      </c>
      <c r="G1407" t="s">
        <v>186</v>
      </c>
    </row>
    <row r="1408" spans="1:7" x14ac:dyDescent="0.3">
      <c r="A1408" s="42">
        <v>45992</v>
      </c>
      <c r="B1408" s="43">
        <v>0.80715277777777783</v>
      </c>
      <c r="C1408" t="s">
        <v>152</v>
      </c>
      <c r="D1408" t="s">
        <v>39</v>
      </c>
      <c r="E1408" t="s">
        <v>645</v>
      </c>
      <c r="F1408">
        <v>-18000</v>
      </c>
      <c r="G1408" t="s">
        <v>186</v>
      </c>
    </row>
    <row r="1409" spans="1:7" x14ac:dyDescent="0.3">
      <c r="A1409" s="42">
        <v>45992</v>
      </c>
      <c r="B1409" s="43">
        <v>0.76723379629629629</v>
      </c>
      <c r="C1409" t="s">
        <v>152</v>
      </c>
      <c r="D1409" t="s">
        <v>38</v>
      </c>
      <c r="E1409" t="s">
        <v>646</v>
      </c>
      <c r="F1409">
        <v>-3000</v>
      </c>
      <c r="G1409" t="s">
        <v>186</v>
      </c>
    </row>
    <row r="1410" spans="1:7" x14ac:dyDescent="0.3">
      <c r="A1410" s="42">
        <v>45992</v>
      </c>
      <c r="B1410" s="43">
        <v>0.49114583333333328</v>
      </c>
      <c r="C1410" t="s">
        <v>155</v>
      </c>
      <c r="D1410" t="s">
        <v>163</v>
      </c>
      <c r="E1410" t="s">
        <v>223</v>
      </c>
      <c r="F1410">
        <v>81</v>
      </c>
      <c r="G1410" t="s">
        <v>68</v>
      </c>
    </row>
    <row r="1411" spans="1:7" x14ac:dyDescent="0.3">
      <c r="A1411" s="42">
        <v>45992</v>
      </c>
      <c r="B1411" s="43">
        <v>0.49114583333333328</v>
      </c>
      <c r="C1411" t="s">
        <v>155</v>
      </c>
      <c r="D1411" t="s">
        <v>163</v>
      </c>
      <c r="E1411" t="s">
        <v>68</v>
      </c>
      <c r="F1411">
        <v>-81</v>
      </c>
      <c r="G1411" t="s">
        <v>67</v>
      </c>
    </row>
    <row r="1412" spans="1:7" x14ac:dyDescent="0.3">
      <c r="A1412" s="42">
        <v>45992</v>
      </c>
      <c r="B1412" s="43">
        <v>0.45561342592592591</v>
      </c>
      <c r="C1412" t="s">
        <v>152</v>
      </c>
      <c r="D1412" t="s">
        <v>44</v>
      </c>
      <c r="E1412" t="s">
        <v>647</v>
      </c>
      <c r="F1412">
        <v>-16664</v>
      </c>
      <c r="G1412" t="s">
        <v>154</v>
      </c>
    </row>
    <row r="1413" spans="1:7" x14ac:dyDescent="0.3">
      <c r="A1413" s="42">
        <v>45992</v>
      </c>
      <c r="B1413" s="43">
        <v>0.42849537037037039</v>
      </c>
      <c r="C1413" t="s">
        <v>152</v>
      </c>
      <c r="D1413" t="s">
        <v>36</v>
      </c>
      <c r="E1413" t="s">
        <v>314</v>
      </c>
      <c r="F1413">
        <v>-5150</v>
      </c>
      <c r="G1413" t="s">
        <v>161</v>
      </c>
    </row>
    <row r="1414" spans="1:7" x14ac:dyDescent="0.3">
      <c r="A1414" s="42">
        <v>45991</v>
      </c>
      <c r="B1414" s="43">
        <v>0.9650347222222222</v>
      </c>
      <c r="C1414" t="s">
        <v>155</v>
      </c>
      <c r="D1414" t="s">
        <v>155</v>
      </c>
      <c r="E1414" t="s">
        <v>277</v>
      </c>
      <c r="F1414">
        <v>-44000000</v>
      </c>
      <c r="G1414" t="s">
        <v>67</v>
      </c>
    </row>
    <row r="1415" spans="1:7" x14ac:dyDescent="0.3">
      <c r="A1415" s="42">
        <v>45991</v>
      </c>
      <c r="B1415" s="43">
        <v>0.93657407407407411</v>
      </c>
      <c r="C1415" t="s">
        <v>155</v>
      </c>
      <c r="D1415" t="s">
        <v>163</v>
      </c>
      <c r="E1415" t="s">
        <v>530</v>
      </c>
      <c r="F1415">
        <v>-1000000</v>
      </c>
      <c r="G1415" t="s">
        <v>66</v>
      </c>
    </row>
    <row r="1416" spans="1:7" x14ac:dyDescent="0.3">
      <c r="A1416" s="42">
        <v>45991</v>
      </c>
      <c r="B1416" s="43">
        <v>0.93657407407407411</v>
      </c>
      <c r="C1416" t="s">
        <v>155</v>
      </c>
      <c r="D1416" t="s">
        <v>163</v>
      </c>
      <c r="E1416" t="s">
        <v>7</v>
      </c>
      <c r="F1416">
        <v>1000000</v>
      </c>
      <c r="G1416" t="s">
        <v>61</v>
      </c>
    </row>
    <row r="1417" spans="1:7" x14ac:dyDescent="0.3">
      <c r="A1417" s="42">
        <v>45991</v>
      </c>
      <c r="B1417" s="43">
        <v>0.83859953703703705</v>
      </c>
      <c r="C1417" t="s">
        <v>152</v>
      </c>
      <c r="D1417" t="s">
        <v>44</v>
      </c>
      <c r="E1417" t="s">
        <v>444</v>
      </c>
      <c r="F1417">
        <v>-43000</v>
      </c>
      <c r="G1417" t="s">
        <v>186</v>
      </c>
    </row>
    <row r="1418" spans="1:7" x14ac:dyDescent="0.3">
      <c r="A1418" s="42">
        <v>45991</v>
      </c>
      <c r="B1418" s="43">
        <v>0.83802083333333333</v>
      </c>
      <c r="C1418" t="s">
        <v>152</v>
      </c>
      <c r="D1418" t="s">
        <v>44</v>
      </c>
      <c r="E1418" t="s">
        <v>444</v>
      </c>
      <c r="F1418">
        <v>-81340</v>
      </c>
      <c r="G1418" t="s">
        <v>186</v>
      </c>
    </row>
    <row r="1419" spans="1:7" x14ac:dyDescent="0.3">
      <c r="A1419" s="42">
        <v>45991</v>
      </c>
      <c r="B1419" s="43">
        <v>0.70421296296296299</v>
      </c>
      <c r="C1419" t="s">
        <v>155</v>
      </c>
      <c r="D1419" t="s">
        <v>155</v>
      </c>
      <c r="E1419" t="s">
        <v>277</v>
      </c>
      <c r="F1419">
        <v>10000000</v>
      </c>
      <c r="G1419" t="s">
        <v>67</v>
      </c>
    </row>
    <row r="1420" spans="1:7" x14ac:dyDescent="0.3">
      <c r="A1420" s="42">
        <v>45991</v>
      </c>
      <c r="B1420" s="43">
        <v>0.70340277777777782</v>
      </c>
      <c r="C1420" t="s">
        <v>155</v>
      </c>
      <c r="D1420" t="s">
        <v>155</v>
      </c>
      <c r="E1420" t="s">
        <v>277</v>
      </c>
      <c r="F1420">
        <v>24000000</v>
      </c>
      <c r="G1420" t="s">
        <v>67</v>
      </c>
    </row>
    <row r="1421" spans="1:7" x14ac:dyDescent="0.3">
      <c r="A1421" s="42">
        <v>45991</v>
      </c>
      <c r="B1421" s="43">
        <v>0.70274305555555561</v>
      </c>
      <c r="C1421" t="s">
        <v>155</v>
      </c>
      <c r="D1421" t="s">
        <v>155</v>
      </c>
      <c r="E1421" t="s">
        <v>277</v>
      </c>
      <c r="F1421">
        <v>10000000</v>
      </c>
      <c r="G1421" t="s">
        <v>67</v>
      </c>
    </row>
    <row r="1422" spans="1:7" x14ac:dyDescent="0.3">
      <c r="A1422" s="42">
        <v>45991</v>
      </c>
      <c r="B1422" s="43">
        <v>0.65929398148148144</v>
      </c>
      <c r="C1422" t="s">
        <v>152</v>
      </c>
      <c r="D1422" t="s">
        <v>49</v>
      </c>
      <c r="E1422" t="s">
        <v>338</v>
      </c>
      <c r="F1422">
        <v>-14070</v>
      </c>
      <c r="G1422" t="s">
        <v>154</v>
      </c>
    </row>
    <row r="1423" spans="1:7" x14ac:dyDescent="0.3">
      <c r="A1423" s="42">
        <v>45991</v>
      </c>
      <c r="B1423" s="43">
        <v>0.52150462962962962</v>
      </c>
      <c r="C1423" t="s">
        <v>152</v>
      </c>
      <c r="D1423" t="s">
        <v>42</v>
      </c>
      <c r="E1423" t="s">
        <v>648</v>
      </c>
      <c r="F1423">
        <v>-131600</v>
      </c>
      <c r="G1423" t="s">
        <v>266</v>
      </c>
    </row>
    <row r="1424" spans="1:7" x14ac:dyDescent="0.3">
      <c r="A1424" s="42">
        <v>45991</v>
      </c>
      <c r="B1424" s="43">
        <v>0.49587962962962961</v>
      </c>
      <c r="C1424" t="s">
        <v>152</v>
      </c>
      <c r="D1424" t="s">
        <v>44</v>
      </c>
      <c r="E1424" t="s">
        <v>265</v>
      </c>
      <c r="F1424">
        <v>-7890</v>
      </c>
      <c r="G1424" t="s">
        <v>266</v>
      </c>
    </row>
    <row r="1425" spans="1:7" x14ac:dyDescent="0.3">
      <c r="A1425" s="42">
        <v>45991</v>
      </c>
      <c r="B1425" s="43">
        <v>0.41721064814814812</v>
      </c>
      <c r="C1425" t="s">
        <v>152</v>
      </c>
      <c r="D1425" t="s">
        <v>36</v>
      </c>
      <c r="E1425" t="s">
        <v>226</v>
      </c>
      <c r="F1425">
        <v>-1600</v>
      </c>
      <c r="G1425" t="s">
        <v>161</v>
      </c>
    </row>
    <row r="1426" spans="1:7" x14ac:dyDescent="0.3">
      <c r="A1426" s="42">
        <v>45991</v>
      </c>
      <c r="B1426" s="43">
        <v>0.41719907407407408</v>
      </c>
      <c r="C1426" t="s">
        <v>152</v>
      </c>
      <c r="D1426" t="s">
        <v>36</v>
      </c>
      <c r="E1426" t="s">
        <v>244</v>
      </c>
      <c r="F1426">
        <v>-4500</v>
      </c>
      <c r="G1426" t="s">
        <v>161</v>
      </c>
    </row>
    <row r="1427" spans="1:7" x14ac:dyDescent="0.3">
      <c r="A1427" s="42">
        <v>45991</v>
      </c>
      <c r="B1427" s="43">
        <v>0</v>
      </c>
      <c r="C1427" t="s">
        <v>152</v>
      </c>
      <c r="D1427" t="s">
        <v>44</v>
      </c>
      <c r="E1427" t="s">
        <v>647</v>
      </c>
      <c r="F1427">
        <v>7951</v>
      </c>
      <c r="G1427" t="s">
        <v>154</v>
      </c>
    </row>
    <row r="1428" spans="1:7" x14ac:dyDescent="0.3">
      <c r="A1428" s="42">
        <v>45990</v>
      </c>
      <c r="B1428" s="43">
        <v>0.9206481481481481</v>
      </c>
      <c r="C1428" t="s">
        <v>152</v>
      </c>
      <c r="D1428" t="s">
        <v>37</v>
      </c>
      <c r="E1428" t="s">
        <v>649</v>
      </c>
      <c r="F1428">
        <v>-400</v>
      </c>
      <c r="G1428" t="s">
        <v>266</v>
      </c>
    </row>
    <row r="1429" spans="1:7" x14ac:dyDescent="0.3">
      <c r="A1429" s="42">
        <v>45990</v>
      </c>
      <c r="B1429" s="43">
        <v>0.7386342592592593</v>
      </c>
      <c r="C1429" t="s">
        <v>152</v>
      </c>
      <c r="D1429" t="s">
        <v>47</v>
      </c>
      <c r="E1429" t="s">
        <v>650</v>
      </c>
      <c r="F1429">
        <v>-4900</v>
      </c>
      <c r="G1429" t="s">
        <v>266</v>
      </c>
    </row>
    <row r="1430" spans="1:7" x14ac:dyDescent="0.3">
      <c r="A1430" s="42">
        <v>45990</v>
      </c>
      <c r="B1430" s="43">
        <v>0.4186111111111111</v>
      </c>
      <c r="C1430" t="s">
        <v>152</v>
      </c>
      <c r="D1430" t="s">
        <v>36</v>
      </c>
      <c r="E1430" t="s">
        <v>244</v>
      </c>
      <c r="F1430">
        <v>-3300</v>
      </c>
      <c r="G1430" t="s">
        <v>161</v>
      </c>
    </row>
    <row r="1431" spans="1:7" x14ac:dyDescent="0.3">
      <c r="A1431" s="42">
        <v>45990</v>
      </c>
      <c r="B1431" s="43">
        <v>0.17549768518518519</v>
      </c>
      <c r="C1431" t="s">
        <v>176</v>
      </c>
      <c r="D1431" t="s">
        <v>28</v>
      </c>
      <c r="E1431" t="s">
        <v>240</v>
      </c>
      <c r="F1431">
        <v>81</v>
      </c>
      <c r="G1431" t="s">
        <v>67</v>
      </c>
    </row>
    <row r="1432" spans="1:7" x14ac:dyDescent="0.3">
      <c r="A1432" s="42">
        <v>45990</v>
      </c>
      <c r="B1432" s="43">
        <v>0.16506944444444441</v>
      </c>
      <c r="C1432" t="s">
        <v>176</v>
      </c>
      <c r="D1432" t="s">
        <v>28</v>
      </c>
      <c r="E1432" t="s">
        <v>240</v>
      </c>
      <c r="F1432">
        <v>1921</v>
      </c>
      <c r="G1432" t="s">
        <v>67</v>
      </c>
    </row>
    <row r="1433" spans="1:7" x14ac:dyDescent="0.3">
      <c r="A1433" s="42">
        <v>45990</v>
      </c>
      <c r="B1433" s="43">
        <v>8.3946759259259263E-2</v>
      </c>
      <c r="C1433" t="s">
        <v>155</v>
      </c>
      <c r="D1433" t="s">
        <v>217</v>
      </c>
      <c r="E1433" t="s">
        <v>242</v>
      </c>
      <c r="F1433">
        <v>127</v>
      </c>
      <c r="G1433" t="s">
        <v>68</v>
      </c>
    </row>
    <row r="1434" spans="1:7" x14ac:dyDescent="0.3">
      <c r="A1434" s="42">
        <v>45989</v>
      </c>
      <c r="B1434" s="43">
        <v>0.77902777777777776</v>
      </c>
      <c r="C1434" t="s">
        <v>152</v>
      </c>
      <c r="D1434" t="s">
        <v>38</v>
      </c>
      <c r="E1434" t="s">
        <v>651</v>
      </c>
      <c r="F1434">
        <v>-53500</v>
      </c>
      <c r="G1434" t="s">
        <v>266</v>
      </c>
    </row>
    <row r="1435" spans="1:7" x14ac:dyDescent="0.3">
      <c r="A1435" s="42">
        <v>45989</v>
      </c>
      <c r="B1435" s="43">
        <v>0.69420138888888894</v>
      </c>
      <c r="C1435" t="s">
        <v>152</v>
      </c>
      <c r="D1435" t="s">
        <v>49</v>
      </c>
      <c r="E1435" t="s">
        <v>652</v>
      </c>
      <c r="F1435">
        <v>-1252</v>
      </c>
      <c r="G1435" t="s">
        <v>199</v>
      </c>
    </row>
    <row r="1436" spans="1:7" x14ac:dyDescent="0.3">
      <c r="A1436" s="42">
        <v>45989</v>
      </c>
      <c r="B1436" s="43">
        <v>0.69420138888888894</v>
      </c>
      <c r="C1436" t="s">
        <v>152</v>
      </c>
      <c r="D1436" t="s">
        <v>49</v>
      </c>
      <c r="E1436" t="s">
        <v>652</v>
      </c>
      <c r="F1436">
        <v>-3096</v>
      </c>
      <c r="G1436" t="s">
        <v>653</v>
      </c>
    </row>
    <row r="1437" spans="1:7" x14ac:dyDescent="0.3">
      <c r="A1437" s="42">
        <v>45989</v>
      </c>
      <c r="B1437" s="43">
        <v>0.69420138888888894</v>
      </c>
      <c r="C1437" t="s">
        <v>152</v>
      </c>
      <c r="D1437" t="s">
        <v>49</v>
      </c>
      <c r="E1437" t="s">
        <v>652</v>
      </c>
      <c r="F1437">
        <v>-5652</v>
      </c>
      <c r="G1437" t="s">
        <v>182</v>
      </c>
    </row>
    <row r="1438" spans="1:7" x14ac:dyDescent="0.3">
      <c r="A1438" s="42">
        <v>45989</v>
      </c>
      <c r="B1438" s="43">
        <v>0.49569444444444438</v>
      </c>
      <c r="C1438" t="s">
        <v>152</v>
      </c>
      <c r="D1438" t="s">
        <v>50</v>
      </c>
      <c r="E1438" t="s">
        <v>654</v>
      </c>
      <c r="F1438">
        <v>-7000</v>
      </c>
      <c r="G1438" t="s">
        <v>266</v>
      </c>
    </row>
    <row r="1439" spans="1:7" x14ac:dyDescent="0.3">
      <c r="A1439" s="42">
        <v>45989</v>
      </c>
      <c r="B1439" s="43">
        <v>0.4243865740740741</v>
      </c>
      <c r="C1439" t="s">
        <v>152</v>
      </c>
      <c r="D1439" t="s">
        <v>36</v>
      </c>
      <c r="E1439" t="s">
        <v>243</v>
      </c>
      <c r="F1439">
        <v>-100</v>
      </c>
      <c r="G1439" t="s">
        <v>161</v>
      </c>
    </row>
    <row r="1440" spans="1:7" x14ac:dyDescent="0.3">
      <c r="A1440" s="42">
        <v>45989</v>
      </c>
      <c r="B1440" s="43">
        <v>0.4243865740740741</v>
      </c>
      <c r="C1440" t="s">
        <v>152</v>
      </c>
      <c r="D1440" t="s">
        <v>36</v>
      </c>
      <c r="E1440" t="s">
        <v>244</v>
      </c>
      <c r="F1440">
        <v>-3400</v>
      </c>
      <c r="G1440" t="s">
        <v>161</v>
      </c>
    </row>
    <row r="1441" spans="1:7" x14ac:dyDescent="0.3">
      <c r="A1441" s="42">
        <v>45988</v>
      </c>
      <c r="B1441" s="43">
        <v>0.86837962962962967</v>
      </c>
      <c r="C1441" t="s">
        <v>152</v>
      </c>
      <c r="D1441" t="s">
        <v>38</v>
      </c>
      <c r="E1441" t="s">
        <v>441</v>
      </c>
      <c r="F1441">
        <v>-1500</v>
      </c>
      <c r="G1441" t="s">
        <v>266</v>
      </c>
    </row>
    <row r="1442" spans="1:7" x14ac:dyDescent="0.3">
      <c r="A1442" s="42">
        <v>45988</v>
      </c>
      <c r="B1442" s="43">
        <v>0.77724537037037034</v>
      </c>
      <c r="C1442" t="s">
        <v>155</v>
      </c>
      <c r="D1442" t="s">
        <v>156</v>
      </c>
      <c r="E1442" t="s">
        <v>233</v>
      </c>
      <c r="F1442">
        <v>-100000</v>
      </c>
      <c r="G1442" t="s">
        <v>61</v>
      </c>
    </row>
    <row r="1443" spans="1:7" x14ac:dyDescent="0.3">
      <c r="A1443" s="42">
        <v>45988</v>
      </c>
      <c r="B1443" s="43">
        <v>0.72123842592592591</v>
      </c>
      <c r="C1443" t="s">
        <v>152</v>
      </c>
      <c r="D1443" t="s">
        <v>40</v>
      </c>
      <c r="E1443" t="s">
        <v>455</v>
      </c>
      <c r="F1443">
        <v>-1500</v>
      </c>
      <c r="G1443" t="s">
        <v>266</v>
      </c>
    </row>
    <row r="1444" spans="1:7" x14ac:dyDescent="0.3">
      <c r="A1444" s="42">
        <v>45988</v>
      </c>
      <c r="B1444" s="43">
        <v>0.66159722222222217</v>
      </c>
      <c r="C1444" t="s">
        <v>152</v>
      </c>
      <c r="D1444" t="s">
        <v>50</v>
      </c>
      <c r="E1444" t="s">
        <v>593</v>
      </c>
      <c r="F1444">
        <v>-11150</v>
      </c>
      <c r="G1444" t="s">
        <v>180</v>
      </c>
    </row>
    <row r="1445" spans="1:7" x14ac:dyDescent="0.3">
      <c r="A1445" s="42">
        <v>45988</v>
      </c>
      <c r="B1445" s="43">
        <v>0.54481481481481486</v>
      </c>
      <c r="C1445" t="s">
        <v>152</v>
      </c>
      <c r="D1445" t="s">
        <v>50</v>
      </c>
      <c r="E1445" t="s">
        <v>184</v>
      </c>
      <c r="F1445">
        <v>-12800</v>
      </c>
      <c r="G1445" t="s">
        <v>266</v>
      </c>
    </row>
    <row r="1446" spans="1:7" x14ac:dyDescent="0.3">
      <c r="A1446" s="42">
        <v>45988</v>
      </c>
      <c r="B1446" s="43">
        <v>0.42378472222222219</v>
      </c>
      <c r="C1446" t="s">
        <v>152</v>
      </c>
      <c r="D1446" t="s">
        <v>36</v>
      </c>
      <c r="E1446" t="s">
        <v>244</v>
      </c>
      <c r="F1446">
        <v>-400</v>
      </c>
      <c r="G1446" t="s">
        <v>161</v>
      </c>
    </row>
    <row r="1447" spans="1:7" x14ac:dyDescent="0.3">
      <c r="A1447" s="42">
        <v>45988</v>
      </c>
      <c r="B1447" s="43">
        <v>0.42378472222222219</v>
      </c>
      <c r="C1447" t="s">
        <v>152</v>
      </c>
      <c r="D1447" t="s">
        <v>36</v>
      </c>
      <c r="E1447" t="s">
        <v>226</v>
      </c>
      <c r="F1447">
        <v>-3000</v>
      </c>
      <c r="G1447" t="s">
        <v>161</v>
      </c>
    </row>
    <row r="1448" spans="1:7" x14ac:dyDescent="0.3">
      <c r="A1448" s="42">
        <v>45987</v>
      </c>
      <c r="B1448" s="43">
        <v>0.92366898148148147</v>
      </c>
      <c r="C1448" t="s">
        <v>155</v>
      </c>
      <c r="D1448" t="s">
        <v>163</v>
      </c>
      <c r="E1448" t="s">
        <v>579</v>
      </c>
      <c r="F1448">
        <v>-962665</v>
      </c>
      <c r="G1448" t="s">
        <v>61</v>
      </c>
    </row>
    <row r="1449" spans="1:7" x14ac:dyDescent="0.3">
      <c r="A1449" s="42">
        <v>45987</v>
      </c>
      <c r="B1449" s="43">
        <v>0.92298611111111106</v>
      </c>
      <c r="C1449" t="s">
        <v>155</v>
      </c>
      <c r="D1449" t="s">
        <v>163</v>
      </c>
      <c r="E1449" t="s">
        <v>530</v>
      </c>
      <c r="F1449">
        <v>-1000000</v>
      </c>
      <c r="G1449" t="s">
        <v>66</v>
      </c>
    </row>
    <row r="1450" spans="1:7" x14ac:dyDescent="0.3">
      <c r="A1450" s="42">
        <v>45987</v>
      </c>
      <c r="B1450" s="43">
        <v>0.92298611111111106</v>
      </c>
      <c r="C1450" t="s">
        <v>155</v>
      </c>
      <c r="D1450" t="s">
        <v>163</v>
      </c>
      <c r="E1450" t="s">
        <v>7</v>
      </c>
      <c r="F1450">
        <v>1000000</v>
      </c>
      <c r="G1450" t="s">
        <v>61</v>
      </c>
    </row>
    <row r="1451" spans="1:7" x14ac:dyDescent="0.3">
      <c r="A1451" s="42">
        <v>45987</v>
      </c>
      <c r="B1451" s="43">
        <v>0.73846064814814816</v>
      </c>
      <c r="C1451" t="s">
        <v>152</v>
      </c>
      <c r="D1451" t="s">
        <v>40</v>
      </c>
      <c r="E1451" t="s">
        <v>434</v>
      </c>
      <c r="F1451">
        <v>-4200</v>
      </c>
      <c r="G1451" t="s">
        <v>266</v>
      </c>
    </row>
    <row r="1452" spans="1:7" x14ac:dyDescent="0.3">
      <c r="A1452" s="42">
        <v>45987</v>
      </c>
      <c r="B1452" s="43">
        <v>0.73365740740740737</v>
      </c>
      <c r="C1452" t="s">
        <v>152</v>
      </c>
      <c r="D1452" t="s">
        <v>36</v>
      </c>
      <c r="E1452" t="s">
        <v>250</v>
      </c>
      <c r="F1452">
        <v>46000</v>
      </c>
      <c r="G1452" t="s">
        <v>180</v>
      </c>
    </row>
    <row r="1453" spans="1:7" x14ac:dyDescent="0.3">
      <c r="A1453" s="42">
        <v>45987</v>
      </c>
      <c r="B1453" s="43">
        <v>0.72752314814814811</v>
      </c>
      <c r="C1453" t="s">
        <v>152</v>
      </c>
      <c r="D1453" t="s">
        <v>36</v>
      </c>
      <c r="E1453" t="s">
        <v>250</v>
      </c>
      <c r="F1453">
        <v>-46300</v>
      </c>
      <c r="G1453" t="s">
        <v>266</v>
      </c>
    </row>
    <row r="1454" spans="1:7" x14ac:dyDescent="0.3">
      <c r="A1454" s="42">
        <v>45987</v>
      </c>
      <c r="B1454" s="43">
        <v>0.72414351851851855</v>
      </c>
      <c r="C1454" t="s">
        <v>152</v>
      </c>
      <c r="D1454" t="s">
        <v>40</v>
      </c>
      <c r="E1454" t="s">
        <v>434</v>
      </c>
      <c r="F1454">
        <v>-5200</v>
      </c>
      <c r="G1454" t="s">
        <v>266</v>
      </c>
    </row>
    <row r="1455" spans="1:7" x14ac:dyDescent="0.3">
      <c r="A1455" s="42">
        <v>45987</v>
      </c>
      <c r="B1455" s="43">
        <v>0.61021990740740739</v>
      </c>
      <c r="C1455" t="s">
        <v>152</v>
      </c>
      <c r="D1455" t="s">
        <v>36</v>
      </c>
      <c r="E1455" t="s">
        <v>250</v>
      </c>
      <c r="F1455">
        <v>-46000</v>
      </c>
      <c r="G1455" t="s">
        <v>180</v>
      </c>
    </row>
    <row r="1456" spans="1:7" x14ac:dyDescent="0.3">
      <c r="A1456" s="42">
        <v>45987</v>
      </c>
      <c r="B1456" s="43">
        <v>0.5975462962962963</v>
      </c>
      <c r="C1456" t="s">
        <v>152</v>
      </c>
      <c r="D1456" t="s">
        <v>50</v>
      </c>
      <c r="E1456" t="s">
        <v>570</v>
      </c>
      <c r="F1456">
        <v>-7600</v>
      </c>
      <c r="G1456" t="s">
        <v>266</v>
      </c>
    </row>
    <row r="1457" spans="1:7" x14ac:dyDescent="0.3">
      <c r="A1457" s="42">
        <v>45987</v>
      </c>
      <c r="B1457" s="43">
        <v>0.50395833333333329</v>
      </c>
      <c r="C1457" t="s">
        <v>155</v>
      </c>
      <c r="D1457" t="s">
        <v>155</v>
      </c>
      <c r="E1457" t="s">
        <v>655</v>
      </c>
      <c r="F1457">
        <v>-100000</v>
      </c>
      <c r="G1457" t="s">
        <v>158</v>
      </c>
    </row>
    <row r="1458" spans="1:7" x14ac:dyDescent="0.3">
      <c r="A1458" s="42">
        <v>45987</v>
      </c>
      <c r="B1458" s="43">
        <v>0.49645833333333328</v>
      </c>
      <c r="C1458" t="s">
        <v>152</v>
      </c>
      <c r="D1458" t="s">
        <v>42</v>
      </c>
      <c r="E1458" t="s">
        <v>656</v>
      </c>
      <c r="F1458">
        <v>-12000</v>
      </c>
      <c r="G1458" t="s">
        <v>266</v>
      </c>
    </row>
    <row r="1459" spans="1:7" x14ac:dyDescent="0.3">
      <c r="A1459" s="42">
        <v>45987</v>
      </c>
      <c r="B1459" s="43">
        <v>0.32393518518518521</v>
      </c>
      <c r="C1459" t="s">
        <v>152</v>
      </c>
      <c r="D1459" t="s">
        <v>40</v>
      </c>
      <c r="E1459" t="s">
        <v>540</v>
      </c>
      <c r="F1459">
        <v>-5000</v>
      </c>
      <c r="G1459" t="s">
        <v>266</v>
      </c>
    </row>
    <row r="1460" spans="1:7" x14ac:dyDescent="0.3">
      <c r="A1460" s="42">
        <v>45987</v>
      </c>
      <c r="B1460" s="43">
        <v>0</v>
      </c>
      <c r="C1460" t="s">
        <v>152</v>
      </c>
      <c r="D1460" t="s">
        <v>36</v>
      </c>
      <c r="E1460" t="s">
        <v>250</v>
      </c>
      <c r="F1460">
        <v>-2300</v>
      </c>
      <c r="G1460" t="s">
        <v>180</v>
      </c>
    </row>
    <row r="1461" spans="1:7" x14ac:dyDescent="0.3">
      <c r="A1461" s="42">
        <v>45986</v>
      </c>
      <c r="B1461" s="43">
        <v>0.90208333333333335</v>
      </c>
      <c r="C1461" t="s">
        <v>152</v>
      </c>
      <c r="D1461" t="s">
        <v>44</v>
      </c>
      <c r="E1461" t="s">
        <v>657</v>
      </c>
      <c r="F1461">
        <v>-13400</v>
      </c>
      <c r="G1461" t="s">
        <v>653</v>
      </c>
    </row>
    <row r="1462" spans="1:7" x14ac:dyDescent="0.3">
      <c r="A1462" s="42">
        <v>45986</v>
      </c>
      <c r="B1462" s="43">
        <v>0.90107638888888886</v>
      </c>
      <c r="C1462" t="s">
        <v>152</v>
      </c>
      <c r="D1462" t="s">
        <v>47</v>
      </c>
      <c r="E1462" t="s">
        <v>658</v>
      </c>
      <c r="F1462">
        <v>-60000</v>
      </c>
      <c r="G1462" t="s">
        <v>266</v>
      </c>
    </row>
    <row r="1463" spans="1:7" x14ac:dyDescent="0.3">
      <c r="A1463" s="42">
        <v>45986</v>
      </c>
      <c r="B1463" s="43">
        <v>0.85910879629629633</v>
      </c>
      <c r="C1463" t="s">
        <v>152</v>
      </c>
      <c r="D1463" t="s">
        <v>44</v>
      </c>
      <c r="E1463" t="s">
        <v>190</v>
      </c>
      <c r="F1463">
        <v>-14600</v>
      </c>
      <c r="G1463" t="s">
        <v>154</v>
      </c>
    </row>
    <row r="1464" spans="1:7" x14ac:dyDescent="0.3">
      <c r="A1464" s="42">
        <v>45986</v>
      </c>
      <c r="B1464" s="43">
        <v>0.84361111111111109</v>
      </c>
      <c r="C1464" t="s">
        <v>152</v>
      </c>
      <c r="D1464" t="s">
        <v>37</v>
      </c>
      <c r="E1464" t="s">
        <v>659</v>
      </c>
      <c r="F1464">
        <v>-20000</v>
      </c>
      <c r="G1464" t="s">
        <v>61</v>
      </c>
    </row>
    <row r="1465" spans="1:7" x14ac:dyDescent="0.3">
      <c r="A1465" s="42">
        <v>45986</v>
      </c>
      <c r="B1465" s="43">
        <v>0.80841435185185184</v>
      </c>
      <c r="C1465" t="s">
        <v>152</v>
      </c>
      <c r="D1465" t="s">
        <v>37</v>
      </c>
      <c r="E1465" t="s">
        <v>660</v>
      </c>
      <c r="F1465">
        <v>-153079</v>
      </c>
      <c r="G1465" t="s">
        <v>60</v>
      </c>
    </row>
    <row r="1466" spans="1:7" x14ac:dyDescent="0.3">
      <c r="A1466" s="42">
        <v>45986</v>
      </c>
      <c r="B1466" s="43">
        <v>0.80677083333333333</v>
      </c>
      <c r="C1466" t="s">
        <v>152</v>
      </c>
      <c r="D1466" t="s">
        <v>40</v>
      </c>
      <c r="E1466" t="s">
        <v>661</v>
      </c>
      <c r="F1466">
        <v>-258304</v>
      </c>
      <c r="G1466" t="s">
        <v>61</v>
      </c>
    </row>
    <row r="1467" spans="1:7" x14ac:dyDescent="0.3">
      <c r="A1467" s="42">
        <v>45986</v>
      </c>
      <c r="B1467" s="43">
        <v>0.72488425925925926</v>
      </c>
      <c r="C1467" t="s">
        <v>152</v>
      </c>
      <c r="D1467" t="s">
        <v>49</v>
      </c>
      <c r="E1467" t="s">
        <v>662</v>
      </c>
      <c r="F1467">
        <v>-27200</v>
      </c>
      <c r="G1467" t="s">
        <v>266</v>
      </c>
    </row>
    <row r="1468" spans="1:7" x14ac:dyDescent="0.3">
      <c r="A1468" s="42">
        <v>45986</v>
      </c>
      <c r="B1468" s="43">
        <v>0.47336805555555561</v>
      </c>
      <c r="C1468" t="s">
        <v>155</v>
      </c>
      <c r="D1468" t="s">
        <v>163</v>
      </c>
      <c r="E1468" t="s">
        <v>223</v>
      </c>
      <c r="F1468">
        <v>658</v>
      </c>
      <c r="G1468" t="s">
        <v>68</v>
      </c>
    </row>
    <row r="1469" spans="1:7" x14ac:dyDescent="0.3">
      <c r="A1469" s="42">
        <v>45986</v>
      </c>
      <c r="B1469" s="43">
        <v>0.47336805555555561</v>
      </c>
      <c r="C1469" t="s">
        <v>155</v>
      </c>
      <c r="D1469" t="s">
        <v>163</v>
      </c>
      <c r="E1469" t="s">
        <v>68</v>
      </c>
      <c r="F1469">
        <v>-658</v>
      </c>
      <c r="G1469" t="s">
        <v>67</v>
      </c>
    </row>
    <row r="1470" spans="1:7" x14ac:dyDescent="0.3">
      <c r="A1470" s="42">
        <v>45986</v>
      </c>
      <c r="B1470" s="43">
        <v>0.43053240740740739</v>
      </c>
      <c r="C1470" t="s">
        <v>152</v>
      </c>
      <c r="D1470" t="s">
        <v>36</v>
      </c>
      <c r="E1470" t="s">
        <v>244</v>
      </c>
      <c r="F1470">
        <v>-400</v>
      </c>
      <c r="G1470" t="s">
        <v>161</v>
      </c>
    </row>
    <row r="1471" spans="1:7" x14ac:dyDescent="0.3">
      <c r="A1471" s="42">
        <v>45986</v>
      </c>
      <c r="B1471" s="43">
        <v>0.43053240740740739</v>
      </c>
      <c r="C1471" t="s">
        <v>152</v>
      </c>
      <c r="D1471" t="s">
        <v>36</v>
      </c>
      <c r="E1471" t="s">
        <v>226</v>
      </c>
      <c r="F1471">
        <v>-3000</v>
      </c>
      <c r="G1471" t="s">
        <v>161</v>
      </c>
    </row>
    <row r="1472" spans="1:7" x14ac:dyDescent="0.3">
      <c r="A1472" s="42">
        <v>45986</v>
      </c>
      <c r="B1472" s="43">
        <v>0.40820601851851851</v>
      </c>
      <c r="C1472" t="s">
        <v>152</v>
      </c>
      <c r="D1472" t="s">
        <v>44</v>
      </c>
      <c r="E1472" t="s">
        <v>647</v>
      </c>
      <c r="F1472">
        <v>-7951</v>
      </c>
      <c r="G1472" t="s">
        <v>154</v>
      </c>
    </row>
    <row r="1473" spans="1:7" x14ac:dyDescent="0.3">
      <c r="A1473" s="42">
        <v>45986</v>
      </c>
      <c r="B1473" s="43">
        <v>4.6041666666666668E-2</v>
      </c>
      <c r="C1473" t="s">
        <v>155</v>
      </c>
      <c r="D1473" t="s">
        <v>217</v>
      </c>
      <c r="E1473" t="s">
        <v>603</v>
      </c>
      <c r="F1473">
        <v>100000</v>
      </c>
      <c r="G1473" t="s">
        <v>64</v>
      </c>
    </row>
    <row r="1474" spans="1:7" x14ac:dyDescent="0.3">
      <c r="A1474" s="42">
        <v>45986</v>
      </c>
      <c r="B1474" s="43">
        <v>4.2337962962962973E-2</v>
      </c>
      <c r="C1474" t="s">
        <v>176</v>
      </c>
      <c r="D1474" t="s">
        <v>29</v>
      </c>
      <c r="E1474" t="s">
        <v>509</v>
      </c>
      <c r="F1474">
        <v>500000</v>
      </c>
      <c r="G1474" t="s">
        <v>64</v>
      </c>
    </row>
    <row r="1475" spans="1:7" x14ac:dyDescent="0.3">
      <c r="A1475" s="42">
        <v>45986</v>
      </c>
      <c r="B1475" s="43">
        <v>3.0555555555555561E-3</v>
      </c>
      <c r="C1475" t="s">
        <v>152</v>
      </c>
      <c r="D1475" t="s">
        <v>36</v>
      </c>
      <c r="E1475" t="s">
        <v>250</v>
      </c>
      <c r="F1475">
        <v>-46100</v>
      </c>
      <c r="G1475" t="s">
        <v>266</v>
      </c>
    </row>
    <row r="1476" spans="1:7" x14ac:dyDescent="0.3">
      <c r="A1476" s="42">
        <v>45985</v>
      </c>
      <c r="B1476" s="43">
        <v>0.83011574074074079</v>
      </c>
      <c r="C1476" t="s">
        <v>152</v>
      </c>
      <c r="D1476" t="s">
        <v>37</v>
      </c>
      <c r="E1476" t="s">
        <v>663</v>
      </c>
      <c r="F1476">
        <v>-16900</v>
      </c>
      <c r="G1476" t="s">
        <v>60</v>
      </c>
    </row>
    <row r="1477" spans="1:7" x14ac:dyDescent="0.3">
      <c r="A1477" s="42">
        <v>45985</v>
      </c>
      <c r="B1477" s="43">
        <v>0.81870370370370371</v>
      </c>
      <c r="C1477" t="s">
        <v>152</v>
      </c>
      <c r="D1477" t="s">
        <v>37</v>
      </c>
      <c r="E1477" t="s">
        <v>664</v>
      </c>
      <c r="F1477">
        <v>-12555</v>
      </c>
      <c r="G1477" t="s">
        <v>61</v>
      </c>
    </row>
    <row r="1478" spans="1:7" x14ac:dyDescent="0.3">
      <c r="A1478" s="42">
        <v>45985</v>
      </c>
      <c r="B1478" s="43">
        <v>0.76400462962962967</v>
      </c>
      <c r="C1478" t="s">
        <v>152</v>
      </c>
      <c r="D1478" t="s">
        <v>37</v>
      </c>
      <c r="E1478" t="s">
        <v>256</v>
      </c>
      <c r="F1478">
        <v>-90120</v>
      </c>
      <c r="G1478" t="s">
        <v>67</v>
      </c>
    </row>
    <row r="1479" spans="1:7" x14ac:dyDescent="0.3">
      <c r="A1479" s="42">
        <v>45985</v>
      </c>
      <c r="B1479" s="43">
        <v>0.61652777777777779</v>
      </c>
      <c r="C1479" t="s">
        <v>152</v>
      </c>
      <c r="D1479" t="s">
        <v>50</v>
      </c>
      <c r="E1479" t="s">
        <v>453</v>
      </c>
      <c r="F1479">
        <v>-4500</v>
      </c>
      <c r="G1479" t="s">
        <v>266</v>
      </c>
    </row>
    <row r="1480" spans="1:7" x14ac:dyDescent="0.3">
      <c r="A1480" s="42">
        <v>45985</v>
      </c>
      <c r="B1480" s="43">
        <v>0.53593749999999996</v>
      </c>
      <c r="C1480" t="s">
        <v>152</v>
      </c>
      <c r="D1480" t="s">
        <v>42</v>
      </c>
      <c r="E1480" t="s">
        <v>665</v>
      </c>
      <c r="F1480">
        <v>-10000</v>
      </c>
      <c r="G1480" t="s">
        <v>266</v>
      </c>
    </row>
    <row r="1481" spans="1:7" x14ac:dyDescent="0.3">
      <c r="A1481" s="42">
        <v>45985</v>
      </c>
      <c r="B1481" s="43">
        <v>0.36033564814814822</v>
      </c>
      <c r="C1481" t="s">
        <v>152</v>
      </c>
      <c r="D1481" t="s">
        <v>37</v>
      </c>
      <c r="E1481" t="s">
        <v>366</v>
      </c>
      <c r="F1481">
        <v>-226342</v>
      </c>
      <c r="G1481" t="s">
        <v>67</v>
      </c>
    </row>
    <row r="1482" spans="1:7" x14ac:dyDescent="0.3">
      <c r="A1482" s="42">
        <v>45985</v>
      </c>
      <c r="B1482" s="43">
        <v>4.2372685185185187E-2</v>
      </c>
      <c r="C1482" t="s">
        <v>152</v>
      </c>
      <c r="D1482" t="s">
        <v>48</v>
      </c>
      <c r="E1482" t="s">
        <v>251</v>
      </c>
      <c r="F1482">
        <v>-300</v>
      </c>
      <c r="G1482" t="s">
        <v>154</v>
      </c>
    </row>
    <row r="1483" spans="1:7" x14ac:dyDescent="0.3">
      <c r="A1483" s="42">
        <v>45984</v>
      </c>
      <c r="B1483" s="43">
        <v>0.63481481481481483</v>
      </c>
      <c r="C1483" t="s">
        <v>152</v>
      </c>
      <c r="D1483" t="s">
        <v>50</v>
      </c>
      <c r="E1483" t="s">
        <v>666</v>
      </c>
      <c r="F1483">
        <v>-59000</v>
      </c>
      <c r="G1483" t="s">
        <v>186</v>
      </c>
    </row>
    <row r="1484" spans="1:7" x14ac:dyDescent="0.3">
      <c r="A1484" s="42">
        <v>45984</v>
      </c>
      <c r="B1484" s="43">
        <v>0.61750000000000005</v>
      </c>
      <c r="C1484" t="s">
        <v>152</v>
      </c>
      <c r="D1484" t="s">
        <v>50</v>
      </c>
      <c r="E1484" t="s">
        <v>667</v>
      </c>
      <c r="F1484">
        <v>-2900</v>
      </c>
      <c r="G1484" t="s">
        <v>266</v>
      </c>
    </row>
    <row r="1485" spans="1:7" x14ac:dyDescent="0.3">
      <c r="A1485" s="42">
        <v>45984</v>
      </c>
      <c r="B1485" s="43">
        <v>0.5951157407407407</v>
      </c>
      <c r="C1485" t="s">
        <v>152</v>
      </c>
      <c r="D1485" t="s">
        <v>50</v>
      </c>
      <c r="E1485" t="s">
        <v>667</v>
      </c>
      <c r="F1485">
        <v>-7000</v>
      </c>
      <c r="G1485" t="s">
        <v>266</v>
      </c>
    </row>
    <row r="1486" spans="1:7" x14ac:dyDescent="0.3">
      <c r="A1486" s="42">
        <v>45984</v>
      </c>
      <c r="B1486" s="43">
        <v>0.59163194444444445</v>
      </c>
      <c r="C1486" t="s">
        <v>152</v>
      </c>
      <c r="D1486" t="s">
        <v>50</v>
      </c>
      <c r="E1486" t="s">
        <v>667</v>
      </c>
      <c r="F1486">
        <v>-8000</v>
      </c>
      <c r="G1486" t="s">
        <v>266</v>
      </c>
    </row>
    <row r="1487" spans="1:7" x14ac:dyDescent="0.3">
      <c r="A1487" s="42">
        <v>45984</v>
      </c>
      <c r="B1487" s="43">
        <v>0.44114583333333329</v>
      </c>
      <c r="C1487" t="s">
        <v>152</v>
      </c>
      <c r="D1487" t="s">
        <v>47</v>
      </c>
      <c r="E1487" t="s">
        <v>668</v>
      </c>
      <c r="F1487">
        <v>-1200</v>
      </c>
      <c r="G1487" t="s">
        <v>186</v>
      </c>
    </row>
    <row r="1488" spans="1:7" x14ac:dyDescent="0.3">
      <c r="A1488" s="42">
        <v>45984</v>
      </c>
      <c r="B1488" s="43">
        <v>0.4173263888888889</v>
      </c>
      <c r="C1488" t="s">
        <v>152</v>
      </c>
      <c r="D1488" t="s">
        <v>36</v>
      </c>
      <c r="E1488" t="s">
        <v>244</v>
      </c>
      <c r="F1488">
        <v>-500</v>
      </c>
      <c r="G1488" t="s">
        <v>161</v>
      </c>
    </row>
    <row r="1489" spans="1:7" x14ac:dyDescent="0.3">
      <c r="A1489" s="42">
        <v>45984</v>
      </c>
      <c r="B1489" s="43">
        <v>0.4173263888888889</v>
      </c>
      <c r="C1489" t="s">
        <v>152</v>
      </c>
      <c r="D1489" t="s">
        <v>36</v>
      </c>
      <c r="E1489" t="s">
        <v>226</v>
      </c>
      <c r="F1489">
        <v>-3000</v>
      </c>
      <c r="G1489" t="s">
        <v>161</v>
      </c>
    </row>
    <row r="1490" spans="1:7" x14ac:dyDescent="0.3">
      <c r="A1490" s="42">
        <v>45983</v>
      </c>
      <c r="B1490" s="43">
        <v>0.87714120370370374</v>
      </c>
      <c r="C1490" t="s">
        <v>152</v>
      </c>
      <c r="D1490" t="s">
        <v>42</v>
      </c>
      <c r="E1490" t="s">
        <v>362</v>
      </c>
      <c r="F1490">
        <v>-33820</v>
      </c>
      <c r="G1490" t="s">
        <v>186</v>
      </c>
    </row>
    <row r="1491" spans="1:7" x14ac:dyDescent="0.3">
      <c r="A1491" s="42">
        <v>45983</v>
      </c>
      <c r="B1491" s="43">
        <v>0.8621875</v>
      </c>
      <c r="C1491" t="s">
        <v>152</v>
      </c>
      <c r="D1491" t="s">
        <v>49</v>
      </c>
      <c r="E1491" t="s">
        <v>669</v>
      </c>
      <c r="F1491">
        <v>-700</v>
      </c>
      <c r="G1491" t="s">
        <v>186</v>
      </c>
    </row>
    <row r="1492" spans="1:7" x14ac:dyDescent="0.3">
      <c r="A1492" s="42">
        <v>45983</v>
      </c>
      <c r="B1492" s="43">
        <v>0.86053240740740744</v>
      </c>
      <c r="C1492" t="s">
        <v>152</v>
      </c>
      <c r="D1492" t="s">
        <v>40</v>
      </c>
      <c r="E1492" t="s">
        <v>298</v>
      </c>
      <c r="F1492">
        <v>-45700</v>
      </c>
      <c r="G1492" t="s">
        <v>186</v>
      </c>
    </row>
    <row r="1493" spans="1:7" x14ac:dyDescent="0.3">
      <c r="A1493" s="42">
        <v>45983</v>
      </c>
      <c r="B1493" s="43">
        <v>0.70681712962962961</v>
      </c>
      <c r="C1493" t="s">
        <v>152</v>
      </c>
      <c r="D1493" t="s">
        <v>44</v>
      </c>
      <c r="E1493" t="s">
        <v>647</v>
      </c>
      <c r="F1493">
        <v>-410</v>
      </c>
      <c r="G1493" t="s">
        <v>154</v>
      </c>
    </row>
    <row r="1494" spans="1:7" x14ac:dyDescent="0.3">
      <c r="A1494" s="42">
        <v>45983</v>
      </c>
      <c r="B1494" s="43">
        <v>0.41910879629629633</v>
      </c>
      <c r="C1494" t="s">
        <v>152</v>
      </c>
      <c r="D1494" t="s">
        <v>36</v>
      </c>
      <c r="E1494" t="s">
        <v>244</v>
      </c>
      <c r="F1494">
        <v>-500</v>
      </c>
      <c r="G1494" t="s">
        <v>161</v>
      </c>
    </row>
    <row r="1495" spans="1:7" x14ac:dyDescent="0.3">
      <c r="A1495" s="42">
        <v>45983</v>
      </c>
      <c r="B1495" s="43">
        <v>0.41910879629629633</v>
      </c>
      <c r="C1495" t="s">
        <v>152</v>
      </c>
      <c r="D1495" t="s">
        <v>36</v>
      </c>
      <c r="E1495" t="s">
        <v>226</v>
      </c>
      <c r="F1495">
        <v>-3000</v>
      </c>
      <c r="G1495" t="s">
        <v>161</v>
      </c>
    </row>
    <row r="1496" spans="1:7" x14ac:dyDescent="0.3">
      <c r="A1496" s="42">
        <v>45983</v>
      </c>
      <c r="B1496" s="43">
        <v>0.4153472222222222</v>
      </c>
      <c r="C1496" t="s">
        <v>155</v>
      </c>
      <c r="D1496" t="s">
        <v>163</v>
      </c>
      <c r="E1496" t="s">
        <v>530</v>
      </c>
      <c r="F1496">
        <v>-1000000</v>
      </c>
      <c r="G1496" t="s">
        <v>66</v>
      </c>
    </row>
    <row r="1497" spans="1:7" x14ac:dyDescent="0.3">
      <c r="A1497" s="42">
        <v>45983</v>
      </c>
      <c r="B1497" s="43">
        <v>0.4153472222222222</v>
      </c>
      <c r="C1497" t="s">
        <v>155</v>
      </c>
      <c r="D1497" t="s">
        <v>163</v>
      </c>
      <c r="E1497" t="s">
        <v>7</v>
      </c>
      <c r="F1497">
        <v>1000000</v>
      </c>
      <c r="G1497" t="s">
        <v>61</v>
      </c>
    </row>
    <row r="1498" spans="1:7" x14ac:dyDescent="0.3">
      <c r="A1498" s="42">
        <v>45983</v>
      </c>
      <c r="B1498" s="43">
        <v>0.36749999999999999</v>
      </c>
      <c r="C1498" t="s">
        <v>155</v>
      </c>
      <c r="D1498" t="s">
        <v>155</v>
      </c>
      <c r="E1498" t="s">
        <v>166</v>
      </c>
      <c r="F1498">
        <v>-100000</v>
      </c>
      <c r="G1498" t="s">
        <v>61</v>
      </c>
    </row>
    <row r="1499" spans="1:7" x14ac:dyDescent="0.3">
      <c r="A1499" s="42">
        <v>45983</v>
      </c>
      <c r="B1499" s="43">
        <v>0.15715277777777781</v>
      </c>
      <c r="C1499" t="s">
        <v>176</v>
      </c>
      <c r="D1499" t="s">
        <v>28</v>
      </c>
      <c r="E1499" t="s">
        <v>241</v>
      </c>
      <c r="F1499">
        <v>0</v>
      </c>
      <c r="G1499" t="s">
        <v>63</v>
      </c>
    </row>
    <row r="1500" spans="1:7" x14ac:dyDescent="0.3">
      <c r="A1500" s="42">
        <v>45982</v>
      </c>
      <c r="B1500" s="43">
        <v>0.75214120370370374</v>
      </c>
      <c r="C1500" t="s">
        <v>152</v>
      </c>
      <c r="D1500" t="s">
        <v>44</v>
      </c>
      <c r="E1500" t="s">
        <v>444</v>
      </c>
      <c r="F1500">
        <v>-3500</v>
      </c>
      <c r="G1500" t="s">
        <v>186</v>
      </c>
    </row>
    <row r="1501" spans="1:7" x14ac:dyDescent="0.3">
      <c r="A1501" s="42">
        <v>45982</v>
      </c>
      <c r="B1501" s="43">
        <v>0.74857638888888889</v>
      </c>
      <c r="C1501" t="s">
        <v>152</v>
      </c>
      <c r="D1501" t="s">
        <v>44</v>
      </c>
      <c r="E1501" t="s">
        <v>444</v>
      </c>
      <c r="F1501">
        <v>-167730</v>
      </c>
      <c r="G1501" t="s">
        <v>186</v>
      </c>
    </row>
    <row r="1502" spans="1:7" x14ac:dyDescent="0.3">
      <c r="A1502" s="42">
        <v>45982</v>
      </c>
      <c r="B1502" s="43">
        <v>0.62369212962962961</v>
      </c>
      <c r="C1502" t="s">
        <v>152</v>
      </c>
      <c r="D1502" t="s">
        <v>47</v>
      </c>
      <c r="E1502" t="s">
        <v>668</v>
      </c>
      <c r="F1502">
        <v>-1900</v>
      </c>
      <c r="G1502" t="s">
        <v>186</v>
      </c>
    </row>
    <row r="1503" spans="1:7" x14ac:dyDescent="0.3">
      <c r="A1503" s="42">
        <v>45982</v>
      </c>
      <c r="B1503" s="43">
        <v>0.58450231481481485</v>
      </c>
      <c r="C1503" t="s">
        <v>152</v>
      </c>
      <c r="D1503" t="s">
        <v>49</v>
      </c>
      <c r="E1503" t="s">
        <v>670</v>
      </c>
      <c r="F1503">
        <v>-2000</v>
      </c>
      <c r="G1503" t="s">
        <v>186</v>
      </c>
    </row>
    <row r="1504" spans="1:7" x14ac:dyDescent="0.3">
      <c r="A1504" s="42">
        <v>45982</v>
      </c>
      <c r="B1504" s="43">
        <v>0.56644675925925925</v>
      </c>
      <c r="C1504" t="s">
        <v>152</v>
      </c>
      <c r="D1504" t="s">
        <v>42</v>
      </c>
      <c r="E1504" t="s">
        <v>671</v>
      </c>
      <c r="F1504">
        <v>-11300</v>
      </c>
      <c r="G1504" t="s">
        <v>186</v>
      </c>
    </row>
    <row r="1505" spans="1:7" x14ac:dyDescent="0.3">
      <c r="A1505" s="42">
        <v>45982</v>
      </c>
      <c r="B1505" s="43">
        <v>0.42539351851851848</v>
      </c>
      <c r="C1505" t="s">
        <v>152</v>
      </c>
      <c r="D1505" t="s">
        <v>36</v>
      </c>
      <c r="E1505" t="s">
        <v>244</v>
      </c>
      <c r="F1505">
        <v>-400</v>
      </c>
      <c r="G1505" t="s">
        <v>161</v>
      </c>
    </row>
    <row r="1506" spans="1:7" x14ac:dyDescent="0.3">
      <c r="A1506" s="42">
        <v>45982</v>
      </c>
      <c r="B1506" s="43">
        <v>0.42539351851851848</v>
      </c>
      <c r="C1506" t="s">
        <v>152</v>
      </c>
      <c r="D1506" t="s">
        <v>36</v>
      </c>
      <c r="E1506" t="s">
        <v>226</v>
      </c>
      <c r="F1506">
        <v>-3000</v>
      </c>
      <c r="G1506" t="s">
        <v>161</v>
      </c>
    </row>
    <row r="1507" spans="1:7" x14ac:dyDescent="0.3">
      <c r="A1507" s="42">
        <v>45982</v>
      </c>
      <c r="B1507" s="43">
        <v>0.33344907407407409</v>
      </c>
      <c r="C1507" t="s">
        <v>176</v>
      </c>
      <c r="D1507" t="s">
        <v>29</v>
      </c>
      <c r="E1507" t="s">
        <v>29</v>
      </c>
      <c r="F1507">
        <v>4630720</v>
      </c>
      <c r="G1507" t="s">
        <v>60</v>
      </c>
    </row>
    <row r="1508" spans="1:7" x14ac:dyDescent="0.3">
      <c r="A1508" s="42">
        <v>45981</v>
      </c>
      <c r="B1508" s="43">
        <v>0.92320601851851847</v>
      </c>
      <c r="C1508" t="s">
        <v>155</v>
      </c>
      <c r="D1508" t="s">
        <v>163</v>
      </c>
      <c r="E1508" t="s">
        <v>530</v>
      </c>
      <c r="F1508">
        <v>-1000000</v>
      </c>
      <c r="G1508" t="s">
        <v>66</v>
      </c>
    </row>
    <row r="1509" spans="1:7" x14ac:dyDescent="0.3">
      <c r="A1509" s="42">
        <v>45981</v>
      </c>
      <c r="B1509" s="43">
        <v>0.92320601851851847</v>
      </c>
      <c r="C1509" t="s">
        <v>155</v>
      </c>
      <c r="D1509" t="s">
        <v>163</v>
      </c>
      <c r="E1509" t="s">
        <v>7</v>
      </c>
      <c r="F1509">
        <v>1000000</v>
      </c>
      <c r="G1509" t="s">
        <v>61</v>
      </c>
    </row>
    <row r="1510" spans="1:7" x14ac:dyDescent="0.3">
      <c r="A1510" s="42">
        <v>45981</v>
      </c>
      <c r="B1510" s="43">
        <v>0.84693287037037035</v>
      </c>
      <c r="C1510" t="s">
        <v>152</v>
      </c>
      <c r="D1510" t="s">
        <v>40</v>
      </c>
      <c r="E1510" t="s">
        <v>289</v>
      </c>
      <c r="F1510">
        <v>-1700</v>
      </c>
      <c r="G1510" t="s">
        <v>186</v>
      </c>
    </row>
    <row r="1511" spans="1:7" x14ac:dyDescent="0.3">
      <c r="A1511" s="42">
        <v>45980</v>
      </c>
      <c r="B1511" s="43">
        <v>0.8530092592592593</v>
      </c>
      <c r="C1511" t="s">
        <v>152</v>
      </c>
      <c r="D1511" t="s">
        <v>44</v>
      </c>
      <c r="E1511" t="s">
        <v>672</v>
      </c>
      <c r="F1511">
        <v>-30000</v>
      </c>
      <c r="G1511" t="s">
        <v>61</v>
      </c>
    </row>
    <row r="1512" spans="1:7" x14ac:dyDescent="0.3">
      <c r="A1512" s="42">
        <v>45980</v>
      </c>
      <c r="B1512" s="43">
        <v>0.49868055555555563</v>
      </c>
      <c r="C1512" t="s">
        <v>152</v>
      </c>
      <c r="D1512" t="s">
        <v>44</v>
      </c>
      <c r="E1512" t="s">
        <v>633</v>
      </c>
      <c r="F1512">
        <v>-31800</v>
      </c>
      <c r="G1512" t="s">
        <v>266</v>
      </c>
    </row>
    <row r="1513" spans="1:7" x14ac:dyDescent="0.3">
      <c r="A1513" s="42">
        <v>45980</v>
      </c>
      <c r="B1513" s="43">
        <v>0.40747685185185178</v>
      </c>
      <c r="C1513" t="s">
        <v>155</v>
      </c>
      <c r="D1513" t="s">
        <v>155</v>
      </c>
      <c r="E1513" t="s">
        <v>320</v>
      </c>
      <c r="F1513">
        <v>13000</v>
      </c>
      <c r="G1513" t="s">
        <v>61</v>
      </c>
    </row>
    <row r="1514" spans="1:7" x14ac:dyDescent="0.3">
      <c r="A1514" s="42">
        <v>45979</v>
      </c>
      <c r="B1514" s="43">
        <v>0.93554398148148143</v>
      </c>
      <c r="C1514" t="s">
        <v>155</v>
      </c>
      <c r="D1514" t="s">
        <v>163</v>
      </c>
      <c r="E1514" t="s">
        <v>530</v>
      </c>
      <c r="F1514">
        <v>-1000000</v>
      </c>
      <c r="G1514" t="s">
        <v>66</v>
      </c>
    </row>
    <row r="1515" spans="1:7" x14ac:dyDescent="0.3">
      <c r="A1515" s="42">
        <v>45979</v>
      </c>
      <c r="B1515" s="43">
        <v>0.93554398148148143</v>
      </c>
      <c r="C1515" t="s">
        <v>155</v>
      </c>
      <c r="D1515" t="s">
        <v>163</v>
      </c>
      <c r="E1515" t="s">
        <v>7</v>
      </c>
      <c r="F1515">
        <v>1000000</v>
      </c>
      <c r="G1515" t="s">
        <v>61</v>
      </c>
    </row>
    <row r="1516" spans="1:7" x14ac:dyDescent="0.3">
      <c r="A1516" s="42">
        <v>45979</v>
      </c>
      <c r="B1516" s="43">
        <v>0.49607638888888889</v>
      </c>
      <c r="C1516" t="s">
        <v>152</v>
      </c>
      <c r="D1516" t="s">
        <v>50</v>
      </c>
      <c r="E1516" t="s">
        <v>184</v>
      </c>
      <c r="F1516">
        <v>-1600</v>
      </c>
      <c r="G1516" t="s">
        <v>266</v>
      </c>
    </row>
    <row r="1517" spans="1:7" x14ac:dyDescent="0.3">
      <c r="A1517" s="42">
        <v>45979</v>
      </c>
      <c r="B1517" s="43">
        <v>0.48912037037037043</v>
      </c>
      <c r="C1517" t="s">
        <v>152</v>
      </c>
      <c r="D1517" t="s">
        <v>40</v>
      </c>
      <c r="E1517" t="s">
        <v>673</v>
      </c>
      <c r="F1517">
        <v>-1300</v>
      </c>
      <c r="G1517" t="s">
        <v>266</v>
      </c>
    </row>
    <row r="1518" spans="1:7" x14ac:dyDescent="0.3">
      <c r="A1518" s="42">
        <v>45979</v>
      </c>
      <c r="B1518" s="43">
        <v>0.48748842592592601</v>
      </c>
      <c r="C1518" t="s">
        <v>152</v>
      </c>
      <c r="D1518" t="s">
        <v>40</v>
      </c>
      <c r="E1518" t="s">
        <v>673</v>
      </c>
      <c r="F1518">
        <v>-1400</v>
      </c>
      <c r="G1518" t="s">
        <v>266</v>
      </c>
    </row>
    <row r="1519" spans="1:7" x14ac:dyDescent="0.3">
      <c r="A1519" s="42">
        <v>45979</v>
      </c>
      <c r="B1519" s="43">
        <v>0</v>
      </c>
      <c r="C1519" t="s">
        <v>152</v>
      </c>
      <c r="D1519" t="s">
        <v>35</v>
      </c>
      <c r="E1519" t="s">
        <v>674</v>
      </c>
      <c r="F1519">
        <v>13000</v>
      </c>
      <c r="G1519" t="s">
        <v>180</v>
      </c>
    </row>
    <row r="1520" spans="1:7" x14ac:dyDescent="0.3">
      <c r="A1520" s="42">
        <v>45978</v>
      </c>
      <c r="B1520" s="43">
        <v>0.81240740740740736</v>
      </c>
      <c r="C1520" t="s">
        <v>155</v>
      </c>
      <c r="D1520" t="s">
        <v>163</v>
      </c>
      <c r="E1520" t="s">
        <v>530</v>
      </c>
      <c r="F1520">
        <v>-1000000</v>
      </c>
      <c r="G1520" t="s">
        <v>66</v>
      </c>
    </row>
    <row r="1521" spans="1:7" x14ac:dyDescent="0.3">
      <c r="A1521" s="42">
        <v>45978</v>
      </c>
      <c r="B1521" s="43">
        <v>0.81240740740740736</v>
      </c>
      <c r="C1521" t="s">
        <v>155</v>
      </c>
      <c r="D1521" t="s">
        <v>163</v>
      </c>
      <c r="E1521" t="s">
        <v>7</v>
      </c>
      <c r="F1521">
        <v>1000000</v>
      </c>
      <c r="G1521" t="s">
        <v>61</v>
      </c>
    </row>
    <row r="1522" spans="1:7" x14ac:dyDescent="0.3">
      <c r="A1522" s="42">
        <v>45978</v>
      </c>
      <c r="B1522" s="43">
        <v>0.74170138888888892</v>
      </c>
      <c r="C1522" t="s">
        <v>152</v>
      </c>
      <c r="D1522" t="s">
        <v>45</v>
      </c>
      <c r="E1522" t="s">
        <v>385</v>
      </c>
      <c r="F1522">
        <v>-23200</v>
      </c>
      <c r="G1522" t="s">
        <v>266</v>
      </c>
    </row>
    <row r="1523" spans="1:7" x14ac:dyDescent="0.3">
      <c r="A1523" s="42">
        <v>45978</v>
      </c>
      <c r="B1523" s="43">
        <v>0.74035879629629631</v>
      </c>
      <c r="C1523" t="s">
        <v>152</v>
      </c>
      <c r="D1523" t="s">
        <v>45</v>
      </c>
      <c r="E1523" t="s">
        <v>675</v>
      </c>
      <c r="F1523">
        <v>-5500</v>
      </c>
      <c r="G1523" t="s">
        <v>266</v>
      </c>
    </row>
    <row r="1524" spans="1:7" x14ac:dyDescent="0.3">
      <c r="A1524" s="42">
        <v>45978</v>
      </c>
      <c r="B1524" s="43">
        <v>0.57082175925925926</v>
      </c>
      <c r="C1524" t="s">
        <v>152</v>
      </c>
      <c r="D1524" t="s">
        <v>42</v>
      </c>
      <c r="E1524" t="s">
        <v>676</v>
      </c>
      <c r="F1524">
        <v>-51800</v>
      </c>
      <c r="G1524" t="s">
        <v>266</v>
      </c>
    </row>
    <row r="1525" spans="1:7" x14ac:dyDescent="0.3">
      <c r="A1525" s="42">
        <v>45978</v>
      </c>
      <c r="B1525" s="43">
        <v>0.42766203703703698</v>
      </c>
      <c r="C1525" t="s">
        <v>152</v>
      </c>
      <c r="D1525" t="s">
        <v>36</v>
      </c>
      <c r="E1525" t="s">
        <v>243</v>
      </c>
      <c r="F1525">
        <v>-1500</v>
      </c>
      <c r="G1525" t="s">
        <v>161</v>
      </c>
    </row>
    <row r="1526" spans="1:7" x14ac:dyDescent="0.3">
      <c r="A1526" s="42">
        <v>45978</v>
      </c>
      <c r="B1526" s="43">
        <v>0.42766203703703698</v>
      </c>
      <c r="C1526" t="s">
        <v>152</v>
      </c>
      <c r="D1526" t="s">
        <v>36</v>
      </c>
      <c r="E1526" t="s">
        <v>244</v>
      </c>
      <c r="F1526">
        <v>-2000</v>
      </c>
      <c r="G1526" t="s">
        <v>161</v>
      </c>
    </row>
    <row r="1527" spans="1:7" x14ac:dyDescent="0.3">
      <c r="A1527" s="42">
        <v>45978</v>
      </c>
      <c r="B1527" s="43">
        <v>0.37633101851851852</v>
      </c>
      <c r="C1527" t="s">
        <v>152</v>
      </c>
      <c r="D1527" t="s">
        <v>47</v>
      </c>
      <c r="E1527" t="s">
        <v>677</v>
      </c>
      <c r="F1527">
        <v>-7200</v>
      </c>
      <c r="G1527" t="s">
        <v>266</v>
      </c>
    </row>
    <row r="1528" spans="1:7" x14ac:dyDescent="0.3">
      <c r="A1528" s="42">
        <v>45978</v>
      </c>
      <c r="B1528" s="43">
        <v>0</v>
      </c>
      <c r="C1528" t="s">
        <v>152</v>
      </c>
      <c r="D1528" t="s">
        <v>35</v>
      </c>
      <c r="E1528" t="s">
        <v>678</v>
      </c>
      <c r="F1528">
        <v>126000</v>
      </c>
      <c r="G1528" t="s">
        <v>180</v>
      </c>
    </row>
    <row r="1529" spans="1:7" x14ac:dyDescent="0.3">
      <c r="A1529" s="42">
        <v>45978</v>
      </c>
      <c r="B1529" s="43">
        <v>0</v>
      </c>
      <c r="C1529" t="s">
        <v>152</v>
      </c>
      <c r="D1529" t="s">
        <v>47</v>
      </c>
      <c r="E1529" t="s">
        <v>209</v>
      </c>
      <c r="F1529">
        <v>11000</v>
      </c>
      <c r="G1529" t="s">
        <v>154</v>
      </c>
    </row>
    <row r="1530" spans="1:7" x14ac:dyDescent="0.3">
      <c r="A1530" s="42">
        <v>45977</v>
      </c>
      <c r="B1530" s="43">
        <v>0.88967592592592593</v>
      </c>
      <c r="C1530" t="s">
        <v>155</v>
      </c>
      <c r="D1530" t="s">
        <v>155</v>
      </c>
      <c r="E1530" t="s">
        <v>679</v>
      </c>
      <c r="F1530">
        <v>-50000</v>
      </c>
      <c r="G1530" t="s">
        <v>61</v>
      </c>
    </row>
    <row r="1531" spans="1:7" x14ac:dyDescent="0.3">
      <c r="A1531" s="42">
        <v>45977</v>
      </c>
      <c r="B1531" s="43">
        <v>0.88736111111111116</v>
      </c>
      <c r="C1531" t="s">
        <v>155</v>
      </c>
      <c r="D1531" t="s">
        <v>163</v>
      </c>
      <c r="E1531" t="s">
        <v>164</v>
      </c>
      <c r="F1531">
        <v>241800</v>
      </c>
      <c r="G1531" t="s">
        <v>158</v>
      </c>
    </row>
    <row r="1532" spans="1:7" x14ac:dyDescent="0.3">
      <c r="A1532" s="42">
        <v>45977</v>
      </c>
      <c r="B1532" s="43">
        <v>0.88736111111111116</v>
      </c>
      <c r="C1532" t="s">
        <v>155</v>
      </c>
      <c r="D1532" t="s">
        <v>155</v>
      </c>
      <c r="E1532" t="s">
        <v>488</v>
      </c>
      <c r="F1532">
        <v>-250000</v>
      </c>
      <c r="G1532" t="s">
        <v>158</v>
      </c>
    </row>
    <row r="1533" spans="1:7" x14ac:dyDescent="0.3">
      <c r="A1533" s="42">
        <v>45977</v>
      </c>
      <c r="B1533" s="43">
        <v>0.88736111111111116</v>
      </c>
      <c r="C1533" t="s">
        <v>155</v>
      </c>
      <c r="D1533" t="s">
        <v>163</v>
      </c>
      <c r="E1533" t="s">
        <v>166</v>
      </c>
      <c r="F1533">
        <v>-241800</v>
      </c>
      <c r="G1533" t="s">
        <v>61</v>
      </c>
    </row>
    <row r="1534" spans="1:7" x14ac:dyDescent="0.3">
      <c r="A1534" s="42">
        <v>45977</v>
      </c>
      <c r="B1534" s="43">
        <v>0.84031250000000002</v>
      </c>
      <c r="C1534" t="s">
        <v>152</v>
      </c>
      <c r="D1534" t="s">
        <v>40</v>
      </c>
      <c r="E1534" t="s">
        <v>409</v>
      </c>
      <c r="F1534">
        <v>-11000</v>
      </c>
      <c r="G1534" t="s">
        <v>180</v>
      </c>
    </row>
    <row r="1535" spans="1:7" x14ac:dyDescent="0.3">
      <c r="A1535" s="42">
        <v>45977</v>
      </c>
      <c r="B1535" s="43">
        <v>0.75428240740740737</v>
      </c>
      <c r="C1535" t="s">
        <v>155</v>
      </c>
      <c r="D1535" t="s">
        <v>163</v>
      </c>
      <c r="E1535" t="s">
        <v>530</v>
      </c>
      <c r="F1535">
        <v>-1000000</v>
      </c>
      <c r="G1535" t="s">
        <v>66</v>
      </c>
    </row>
    <row r="1536" spans="1:7" x14ac:dyDescent="0.3">
      <c r="A1536" s="42">
        <v>45977</v>
      </c>
      <c r="B1536" s="43">
        <v>0.75428240740740737</v>
      </c>
      <c r="C1536" t="s">
        <v>155</v>
      </c>
      <c r="D1536" t="s">
        <v>163</v>
      </c>
      <c r="E1536" t="s">
        <v>7</v>
      </c>
      <c r="F1536">
        <v>1000000</v>
      </c>
      <c r="G1536" t="s">
        <v>61</v>
      </c>
    </row>
    <row r="1537" spans="1:7" x14ac:dyDescent="0.3">
      <c r="A1537" s="42">
        <v>45977</v>
      </c>
      <c r="B1537" s="43">
        <v>0.6287962962962963</v>
      </c>
      <c r="C1537" t="s">
        <v>152</v>
      </c>
      <c r="D1537" t="s">
        <v>38</v>
      </c>
      <c r="E1537" t="s">
        <v>680</v>
      </c>
      <c r="F1537">
        <v>-7220</v>
      </c>
      <c r="G1537" t="s">
        <v>199</v>
      </c>
    </row>
    <row r="1538" spans="1:7" x14ac:dyDescent="0.3">
      <c r="A1538" s="42">
        <v>45977</v>
      </c>
      <c r="B1538" s="43">
        <v>0.6287962962962963</v>
      </c>
      <c r="C1538" t="s">
        <v>152</v>
      </c>
      <c r="D1538" t="s">
        <v>38</v>
      </c>
      <c r="E1538" t="s">
        <v>680</v>
      </c>
      <c r="F1538">
        <v>-19280</v>
      </c>
      <c r="G1538" t="s">
        <v>653</v>
      </c>
    </row>
    <row r="1539" spans="1:7" x14ac:dyDescent="0.3">
      <c r="A1539" s="42">
        <v>45977</v>
      </c>
      <c r="B1539" s="43">
        <v>0.61758101851851854</v>
      </c>
      <c r="C1539" t="s">
        <v>152</v>
      </c>
      <c r="D1539" t="s">
        <v>40</v>
      </c>
      <c r="E1539" t="s">
        <v>455</v>
      </c>
      <c r="F1539">
        <v>-7000</v>
      </c>
      <c r="G1539" t="s">
        <v>180</v>
      </c>
    </row>
    <row r="1540" spans="1:7" x14ac:dyDescent="0.3">
      <c r="A1540" s="42">
        <v>45977</v>
      </c>
      <c r="B1540" s="43">
        <v>0.41775462962962961</v>
      </c>
      <c r="C1540" t="s">
        <v>152</v>
      </c>
      <c r="D1540" t="s">
        <v>36</v>
      </c>
      <c r="E1540" t="s">
        <v>243</v>
      </c>
      <c r="F1540">
        <v>-1500</v>
      </c>
      <c r="G1540" t="s">
        <v>161</v>
      </c>
    </row>
    <row r="1541" spans="1:7" x14ac:dyDescent="0.3">
      <c r="A1541" s="42">
        <v>45977</v>
      </c>
      <c r="B1541" s="43">
        <v>0.41775462962962961</v>
      </c>
      <c r="C1541" t="s">
        <v>152</v>
      </c>
      <c r="D1541" t="s">
        <v>36</v>
      </c>
      <c r="E1541" t="s">
        <v>244</v>
      </c>
      <c r="F1541">
        <v>-2000</v>
      </c>
      <c r="G1541" t="s">
        <v>161</v>
      </c>
    </row>
    <row r="1542" spans="1:7" x14ac:dyDescent="0.3">
      <c r="A1542" s="42">
        <v>45976</v>
      </c>
      <c r="B1542" s="43">
        <v>0.64481481481481484</v>
      </c>
      <c r="C1542" t="s">
        <v>152</v>
      </c>
      <c r="D1542" t="s">
        <v>36</v>
      </c>
      <c r="E1542" t="s">
        <v>630</v>
      </c>
      <c r="F1542">
        <v>-7300</v>
      </c>
      <c r="G1542" t="s">
        <v>236</v>
      </c>
    </row>
    <row r="1543" spans="1:7" x14ac:dyDescent="0.3">
      <c r="A1543" s="42">
        <v>45976</v>
      </c>
      <c r="B1543" s="43">
        <v>0.62895833333333329</v>
      </c>
      <c r="C1543" t="s">
        <v>152</v>
      </c>
      <c r="D1543" t="s">
        <v>36</v>
      </c>
      <c r="E1543" t="s">
        <v>630</v>
      </c>
      <c r="F1543">
        <v>9500</v>
      </c>
      <c r="G1543" t="s">
        <v>236</v>
      </c>
    </row>
    <row r="1544" spans="1:7" x14ac:dyDescent="0.3">
      <c r="A1544" s="42">
        <v>45976</v>
      </c>
      <c r="B1544" s="43">
        <v>0.62894675925925925</v>
      </c>
      <c r="C1544" t="s">
        <v>152</v>
      </c>
      <c r="D1544" t="s">
        <v>36</v>
      </c>
      <c r="E1544" t="s">
        <v>630</v>
      </c>
      <c r="F1544">
        <v>-9500</v>
      </c>
      <c r="G1544" t="s">
        <v>236</v>
      </c>
    </row>
    <row r="1545" spans="1:7" x14ac:dyDescent="0.3">
      <c r="A1545" s="42">
        <v>45976</v>
      </c>
      <c r="B1545" s="43">
        <v>0.54321759259259261</v>
      </c>
      <c r="C1545" t="s">
        <v>152</v>
      </c>
      <c r="D1545" t="s">
        <v>49</v>
      </c>
      <c r="E1545" t="s">
        <v>681</v>
      </c>
      <c r="F1545">
        <v>-9000</v>
      </c>
      <c r="G1545" t="s">
        <v>180</v>
      </c>
    </row>
    <row r="1546" spans="1:7" x14ac:dyDescent="0.3">
      <c r="A1546" s="42">
        <v>45976</v>
      </c>
      <c r="B1546" s="43">
        <v>0.50982638888888887</v>
      </c>
      <c r="C1546" t="s">
        <v>152</v>
      </c>
      <c r="D1546" t="s">
        <v>50</v>
      </c>
      <c r="E1546" t="s">
        <v>682</v>
      </c>
      <c r="F1546">
        <v>-39500</v>
      </c>
      <c r="G1546" t="s">
        <v>180</v>
      </c>
    </row>
    <row r="1547" spans="1:7" x14ac:dyDescent="0.3">
      <c r="A1547" s="42">
        <v>45976</v>
      </c>
      <c r="B1547" s="43">
        <v>0.43332175925925931</v>
      </c>
      <c r="C1547" t="s">
        <v>152</v>
      </c>
      <c r="D1547" t="s">
        <v>36</v>
      </c>
      <c r="E1547" t="s">
        <v>243</v>
      </c>
      <c r="F1547">
        <v>-1500</v>
      </c>
      <c r="G1547" t="s">
        <v>161</v>
      </c>
    </row>
    <row r="1548" spans="1:7" x14ac:dyDescent="0.3">
      <c r="A1548" s="42">
        <v>45976</v>
      </c>
      <c r="B1548" s="43">
        <v>0.43332175925925931</v>
      </c>
      <c r="C1548" t="s">
        <v>152</v>
      </c>
      <c r="D1548" t="s">
        <v>36</v>
      </c>
      <c r="E1548" t="s">
        <v>244</v>
      </c>
      <c r="F1548">
        <v>-2000</v>
      </c>
      <c r="G1548" t="s">
        <v>161</v>
      </c>
    </row>
    <row r="1549" spans="1:7" x14ac:dyDescent="0.3">
      <c r="A1549" s="42">
        <v>45976</v>
      </c>
      <c r="B1549" s="43">
        <v>0.33778935185185183</v>
      </c>
      <c r="C1549" t="s">
        <v>152</v>
      </c>
      <c r="D1549" t="s">
        <v>47</v>
      </c>
      <c r="E1549" t="s">
        <v>448</v>
      </c>
      <c r="F1549">
        <v>-5000</v>
      </c>
      <c r="G1549" t="s">
        <v>180</v>
      </c>
    </row>
    <row r="1550" spans="1:7" x14ac:dyDescent="0.3">
      <c r="A1550" s="42">
        <v>45976</v>
      </c>
      <c r="B1550" s="43">
        <v>0.33562500000000001</v>
      </c>
      <c r="C1550" t="s">
        <v>152</v>
      </c>
      <c r="D1550" t="s">
        <v>47</v>
      </c>
      <c r="E1550" t="s">
        <v>448</v>
      </c>
      <c r="F1550">
        <v>-50000</v>
      </c>
      <c r="G1550" t="s">
        <v>180</v>
      </c>
    </row>
    <row r="1551" spans="1:7" x14ac:dyDescent="0.3">
      <c r="A1551" s="42">
        <v>45976</v>
      </c>
      <c r="B1551" s="43">
        <v>7.0381944444444441E-2</v>
      </c>
      <c r="C1551" t="s">
        <v>155</v>
      </c>
      <c r="D1551" t="s">
        <v>156</v>
      </c>
      <c r="E1551" t="s">
        <v>234</v>
      </c>
      <c r="F1551">
        <v>1336</v>
      </c>
      <c r="G1551" t="s">
        <v>61</v>
      </c>
    </row>
    <row r="1552" spans="1:7" x14ac:dyDescent="0.3">
      <c r="A1552" s="42">
        <v>45976</v>
      </c>
      <c r="B1552" s="43">
        <v>7.0231481481481478E-2</v>
      </c>
      <c r="C1552" t="s">
        <v>155</v>
      </c>
      <c r="D1552" t="s">
        <v>156</v>
      </c>
      <c r="E1552" t="s">
        <v>234</v>
      </c>
      <c r="F1552">
        <v>3115</v>
      </c>
      <c r="G1552" t="s">
        <v>60</v>
      </c>
    </row>
    <row r="1553" spans="1:7" x14ac:dyDescent="0.3">
      <c r="A1553" s="42">
        <v>45975</v>
      </c>
      <c r="B1553" s="43">
        <v>0.87097222222222226</v>
      </c>
      <c r="C1553" t="s">
        <v>155</v>
      </c>
      <c r="D1553" t="s">
        <v>163</v>
      </c>
      <c r="E1553" t="s">
        <v>579</v>
      </c>
      <c r="F1553">
        <v>-915249</v>
      </c>
      <c r="G1553" t="s">
        <v>61</v>
      </c>
    </row>
    <row r="1554" spans="1:7" x14ac:dyDescent="0.3">
      <c r="A1554" s="42">
        <v>45975</v>
      </c>
      <c r="B1554" s="43">
        <v>0.86987268518518523</v>
      </c>
      <c r="C1554" t="s">
        <v>155</v>
      </c>
      <c r="D1554" t="s">
        <v>163</v>
      </c>
      <c r="E1554" t="s">
        <v>530</v>
      </c>
      <c r="F1554">
        <v>-1000000</v>
      </c>
      <c r="G1554" t="s">
        <v>66</v>
      </c>
    </row>
    <row r="1555" spans="1:7" x14ac:dyDescent="0.3">
      <c r="A1555" s="42">
        <v>45975</v>
      </c>
      <c r="B1555" s="43">
        <v>0.86987268518518523</v>
      </c>
      <c r="C1555" t="s">
        <v>155</v>
      </c>
      <c r="D1555" t="s">
        <v>163</v>
      </c>
      <c r="E1555" t="s">
        <v>7</v>
      </c>
      <c r="F1555">
        <v>1000000</v>
      </c>
      <c r="G1555" t="s">
        <v>61</v>
      </c>
    </row>
    <row r="1556" spans="1:7" x14ac:dyDescent="0.3">
      <c r="A1556" s="42">
        <v>45975</v>
      </c>
      <c r="B1556" s="43">
        <v>0.79943287037037036</v>
      </c>
      <c r="C1556" t="s">
        <v>155</v>
      </c>
      <c r="D1556" t="s">
        <v>213</v>
      </c>
      <c r="E1556" t="s">
        <v>683</v>
      </c>
      <c r="F1556">
        <v>-1760024</v>
      </c>
      <c r="G1556" t="s">
        <v>61</v>
      </c>
    </row>
    <row r="1557" spans="1:7" x14ac:dyDescent="0.3">
      <c r="A1557" s="42">
        <v>45975</v>
      </c>
      <c r="B1557" s="43">
        <v>0.48995370370370372</v>
      </c>
      <c r="C1557" t="s">
        <v>152</v>
      </c>
      <c r="D1557" t="s">
        <v>47</v>
      </c>
      <c r="E1557" t="s">
        <v>209</v>
      </c>
      <c r="F1557">
        <v>-14300</v>
      </c>
      <c r="G1557" t="s">
        <v>154</v>
      </c>
    </row>
    <row r="1558" spans="1:7" x14ac:dyDescent="0.3">
      <c r="A1558" s="42">
        <v>45975</v>
      </c>
      <c r="B1558" s="43">
        <v>0.4896875</v>
      </c>
      <c r="C1558" t="s">
        <v>152</v>
      </c>
      <c r="D1558" t="s">
        <v>47</v>
      </c>
      <c r="E1558" t="s">
        <v>209</v>
      </c>
      <c r="F1558">
        <v>-11000</v>
      </c>
      <c r="G1558" t="s">
        <v>154</v>
      </c>
    </row>
    <row r="1559" spans="1:7" x14ac:dyDescent="0.3">
      <c r="A1559" s="42">
        <v>45975</v>
      </c>
      <c r="B1559" s="43">
        <v>0.42855324074074069</v>
      </c>
      <c r="C1559" t="s">
        <v>152</v>
      </c>
      <c r="D1559" t="s">
        <v>36</v>
      </c>
      <c r="E1559" t="s">
        <v>243</v>
      </c>
      <c r="F1559">
        <v>-1500</v>
      </c>
      <c r="G1559" t="s">
        <v>161</v>
      </c>
    </row>
    <row r="1560" spans="1:7" x14ac:dyDescent="0.3">
      <c r="A1560" s="42">
        <v>45975</v>
      </c>
      <c r="B1560" s="43">
        <v>0.42855324074074069</v>
      </c>
      <c r="C1560" t="s">
        <v>152</v>
      </c>
      <c r="D1560" t="s">
        <v>36</v>
      </c>
      <c r="E1560" t="s">
        <v>244</v>
      </c>
      <c r="F1560">
        <v>-2000</v>
      </c>
      <c r="G1560" t="s">
        <v>161</v>
      </c>
    </row>
    <row r="1561" spans="1:7" x14ac:dyDescent="0.3">
      <c r="A1561" s="42">
        <v>45975</v>
      </c>
      <c r="B1561" s="43">
        <v>0.40236111111111111</v>
      </c>
      <c r="C1561" t="s">
        <v>152</v>
      </c>
      <c r="D1561" t="s">
        <v>44</v>
      </c>
      <c r="E1561" t="s">
        <v>375</v>
      </c>
      <c r="F1561">
        <v>-19030</v>
      </c>
      <c r="G1561" t="s">
        <v>266</v>
      </c>
    </row>
    <row r="1562" spans="1:7" x14ac:dyDescent="0.3">
      <c r="A1562" s="42">
        <v>45975</v>
      </c>
      <c r="B1562" s="43">
        <v>0.36520833333333341</v>
      </c>
      <c r="C1562" t="s">
        <v>152</v>
      </c>
      <c r="D1562" t="s">
        <v>50</v>
      </c>
      <c r="E1562" t="s">
        <v>184</v>
      </c>
      <c r="F1562">
        <v>-3200</v>
      </c>
      <c r="G1562" t="s">
        <v>154</v>
      </c>
    </row>
    <row r="1563" spans="1:7" x14ac:dyDescent="0.3">
      <c r="A1563" s="42">
        <v>45974</v>
      </c>
      <c r="B1563" s="43">
        <v>0.95611111111111113</v>
      </c>
      <c r="C1563" t="s">
        <v>155</v>
      </c>
      <c r="D1563" t="s">
        <v>163</v>
      </c>
      <c r="E1563" t="s">
        <v>530</v>
      </c>
      <c r="F1563">
        <v>-1000000</v>
      </c>
      <c r="G1563" t="s">
        <v>66</v>
      </c>
    </row>
    <row r="1564" spans="1:7" x14ac:dyDescent="0.3">
      <c r="A1564" s="42">
        <v>45974</v>
      </c>
      <c r="B1564" s="43">
        <v>0.95611111111111113</v>
      </c>
      <c r="C1564" t="s">
        <v>155</v>
      </c>
      <c r="D1564" t="s">
        <v>163</v>
      </c>
      <c r="E1564" t="s">
        <v>7</v>
      </c>
      <c r="F1564">
        <v>1000000</v>
      </c>
      <c r="G1564" t="s">
        <v>61</v>
      </c>
    </row>
    <row r="1565" spans="1:7" x14ac:dyDescent="0.3">
      <c r="A1565" s="42">
        <v>45974</v>
      </c>
      <c r="B1565" s="43">
        <v>0.92321759259259262</v>
      </c>
      <c r="C1565" t="s">
        <v>152</v>
      </c>
      <c r="D1565" t="s">
        <v>38</v>
      </c>
      <c r="E1565" t="s">
        <v>402</v>
      </c>
      <c r="F1565">
        <v>-4200</v>
      </c>
      <c r="G1565" t="s">
        <v>154</v>
      </c>
    </row>
    <row r="1566" spans="1:7" x14ac:dyDescent="0.3">
      <c r="A1566" s="42">
        <v>45974</v>
      </c>
      <c r="B1566" s="43">
        <v>0.81010416666666663</v>
      </c>
      <c r="C1566" t="s">
        <v>155</v>
      </c>
      <c r="D1566" t="s">
        <v>213</v>
      </c>
      <c r="E1566" t="s">
        <v>326</v>
      </c>
      <c r="F1566">
        <v>-401058</v>
      </c>
      <c r="G1566" t="s">
        <v>61</v>
      </c>
    </row>
    <row r="1567" spans="1:7" x14ac:dyDescent="0.3">
      <c r="A1567" s="42">
        <v>45974</v>
      </c>
      <c r="B1567" s="43">
        <v>0.70106481481481486</v>
      </c>
      <c r="C1567" t="s">
        <v>152</v>
      </c>
      <c r="D1567" t="s">
        <v>44</v>
      </c>
      <c r="E1567" t="s">
        <v>190</v>
      </c>
      <c r="F1567">
        <v>-4780</v>
      </c>
      <c r="G1567" t="s">
        <v>154</v>
      </c>
    </row>
    <row r="1568" spans="1:7" x14ac:dyDescent="0.3">
      <c r="A1568" s="42">
        <v>45974</v>
      </c>
      <c r="B1568" s="43">
        <v>0.50914351851851847</v>
      </c>
      <c r="C1568" t="s">
        <v>152</v>
      </c>
      <c r="D1568" t="s">
        <v>44</v>
      </c>
      <c r="E1568" t="s">
        <v>633</v>
      </c>
      <c r="F1568">
        <v>-13400</v>
      </c>
      <c r="G1568" t="s">
        <v>154</v>
      </c>
    </row>
    <row r="1569" spans="1:7" x14ac:dyDescent="0.3">
      <c r="A1569" s="42">
        <v>45974</v>
      </c>
      <c r="B1569" s="43">
        <v>0.42552083333333329</v>
      </c>
      <c r="C1569" t="s">
        <v>152</v>
      </c>
      <c r="D1569" t="s">
        <v>36</v>
      </c>
      <c r="E1569" t="s">
        <v>244</v>
      </c>
      <c r="F1569">
        <v>-400</v>
      </c>
      <c r="G1569" t="s">
        <v>161</v>
      </c>
    </row>
    <row r="1570" spans="1:7" x14ac:dyDescent="0.3">
      <c r="A1570" s="42">
        <v>45974</v>
      </c>
      <c r="B1570" s="43">
        <v>0.42550925925925931</v>
      </c>
      <c r="C1570" t="s">
        <v>152</v>
      </c>
      <c r="D1570" t="s">
        <v>36</v>
      </c>
      <c r="E1570" t="s">
        <v>612</v>
      </c>
      <c r="F1570">
        <v>-3100</v>
      </c>
      <c r="G1570" t="s">
        <v>161</v>
      </c>
    </row>
    <row r="1571" spans="1:7" x14ac:dyDescent="0.3">
      <c r="A1571" s="42">
        <v>45973</v>
      </c>
      <c r="B1571" s="43">
        <v>0.90153935185185186</v>
      </c>
      <c r="C1571" t="s">
        <v>152</v>
      </c>
      <c r="D1571" t="s">
        <v>47</v>
      </c>
      <c r="E1571" t="s">
        <v>209</v>
      </c>
      <c r="F1571">
        <v>-13000</v>
      </c>
      <c r="G1571" t="s">
        <v>154</v>
      </c>
    </row>
    <row r="1572" spans="1:7" x14ac:dyDescent="0.3">
      <c r="A1572" s="42">
        <v>45973</v>
      </c>
      <c r="B1572" s="43">
        <v>0.58287037037037037</v>
      </c>
      <c r="C1572" t="s">
        <v>176</v>
      </c>
      <c r="D1572" t="s">
        <v>28</v>
      </c>
      <c r="E1572" t="s">
        <v>178</v>
      </c>
      <c r="F1572">
        <v>19050</v>
      </c>
      <c r="G1572" t="s">
        <v>61</v>
      </c>
    </row>
    <row r="1573" spans="1:7" x14ac:dyDescent="0.3">
      <c r="A1573" s="42">
        <v>45973</v>
      </c>
      <c r="B1573" s="43">
        <v>0.44774305555555549</v>
      </c>
      <c r="C1573" t="s">
        <v>155</v>
      </c>
      <c r="D1573" t="s">
        <v>163</v>
      </c>
      <c r="E1573" t="s">
        <v>579</v>
      </c>
      <c r="F1573">
        <v>-1028459</v>
      </c>
      <c r="G1573" t="s">
        <v>61</v>
      </c>
    </row>
    <row r="1574" spans="1:7" x14ac:dyDescent="0.3">
      <c r="A1574" s="42">
        <v>45973</v>
      </c>
      <c r="B1574" s="43">
        <v>0.44700231481481478</v>
      </c>
      <c r="C1574" t="s">
        <v>155</v>
      </c>
      <c r="D1574" t="s">
        <v>163</v>
      </c>
      <c r="E1574" t="s">
        <v>530</v>
      </c>
      <c r="F1574">
        <v>-1000000</v>
      </c>
      <c r="G1574" t="s">
        <v>66</v>
      </c>
    </row>
    <row r="1575" spans="1:7" x14ac:dyDescent="0.3">
      <c r="A1575" s="42">
        <v>45973</v>
      </c>
      <c r="B1575" s="43">
        <v>0.44700231481481478</v>
      </c>
      <c r="C1575" t="s">
        <v>155</v>
      </c>
      <c r="D1575" t="s">
        <v>163</v>
      </c>
      <c r="E1575" t="s">
        <v>7</v>
      </c>
      <c r="F1575">
        <v>1000000</v>
      </c>
      <c r="G1575" t="s">
        <v>61</v>
      </c>
    </row>
    <row r="1576" spans="1:7" x14ac:dyDescent="0.3">
      <c r="A1576" s="42">
        <v>45973</v>
      </c>
      <c r="B1576" s="43">
        <v>0.44505787037037042</v>
      </c>
      <c r="C1576" t="s">
        <v>152</v>
      </c>
      <c r="D1576" t="s">
        <v>44</v>
      </c>
      <c r="E1576" t="s">
        <v>159</v>
      </c>
      <c r="F1576">
        <v>-8900</v>
      </c>
      <c r="G1576" t="s">
        <v>154</v>
      </c>
    </row>
    <row r="1577" spans="1:7" x14ac:dyDescent="0.3">
      <c r="A1577" s="42">
        <v>45972</v>
      </c>
      <c r="B1577" s="43">
        <v>0.76905092592592594</v>
      </c>
      <c r="C1577" t="s">
        <v>152</v>
      </c>
      <c r="D1577" t="s">
        <v>49</v>
      </c>
      <c r="E1577" t="s">
        <v>469</v>
      </c>
      <c r="F1577">
        <v>-4600</v>
      </c>
      <c r="G1577" t="s">
        <v>154</v>
      </c>
    </row>
    <row r="1578" spans="1:7" x14ac:dyDescent="0.3">
      <c r="A1578" s="42">
        <v>45972</v>
      </c>
      <c r="B1578" s="43">
        <v>0.36118055555555562</v>
      </c>
      <c r="C1578" t="s">
        <v>152</v>
      </c>
      <c r="D1578" t="s">
        <v>49</v>
      </c>
      <c r="E1578" t="s">
        <v>368</v>
      </c>
      <c r="F1578">
        <v>-300</v>
      </c>
      <c r="G1578" t="s">
        <v>180</v>
      </c>
    </row>
    <row r="1579" spans="1:7" x14ac:dyDescent="0.3">
      <c r="A1579" s="42">
        <v>45972</v>
      </c>
      <c r="B1579" s="43">
        <v>0</v>
      </c>
      <c r="C1579" t="s">
        <v>152</v>
      </c>
      <c r="D1579" t="s">
        <v>44</v>
      </c>
      <c r="E1579" t="s">
        <v>259</v>
      </c>
      <c r="F1579">
        <v>2124</v>
      </c>
      <c r="G1579" t="s">
        <v>180</v>
      </c>
    </row>
    <row r="1580" spans="1:7" x14ac:dyDescent="0.3">
      <c r="A1580" s="42">
        <v>45971</v>
      </c>
      <c r="B1580" s="43">
        <v>0.70754629629629628</v>
      </c>
      <c r="C1580" t="s">
        <v>152</v>
      </c>
      <c r="D1580" t="s">
        <v>44</v>
      </c>
      <c r="E1580" t="s">
        <v>179</v>
      </c>
      <c r="F1580">
        <v>-34900</v>
      </c>
      <c r="G1580" t="s">
        <v>180</v>
      </c>
    </row>
    <row r="1581" spans="1:7" x14ac:dyDescent="0.3">
      <c r="A1581" s="42">
        <v>45971</v>
      </c>
      <c r="B1581" s="43">
        <v>0.60909722222222218</v>
      </c>
      <c r="C1581" t="s">
        <v>176</v>
      </c>
      <c r="D1581" t="s">
        <v>32</v>
      </c>
      <c r="E1581" t="s">
        <v>177</v>
      </c>
      <c r="F1581">
        <v>30400</v>
      </c>
      <c r="G1581" t="s">
        <v>61</v>
      </c>
    </row>
    <row r="1582" spans="1:7" x14ac:dyDescent="0.3">
      <c r="A1582" s="42">
        <v>45971</v>
      </c>
      <c r="B1582" s="43">
        <v>0.58442129629629624</v>
      </c>
      <c r="C1582" t="s">
        <v>152</v>
      </c>
      <c r="D1582" t="s">
        <v>42</v>
      </c>
      <c r="E1582" t="s">
        <v>684</v>
      </c>
      <c r="F1582">
        <v>-5475</v>
      </c>
      <c r="G1582" t="s">
        <v>199</v>
      </c>
    </row>
    <row r="1583" spans="1:7" x14ac:dyDescent="0.3">
      <c r="A1583" s="42">
        <v>45971</v>
      </c>
      <c r="B1583" s="43">
        <v>0.58442129629629624</v>
      </c>
      <c r="C1583" t="s">
        <v>152</v>
      </c>
      <c r="D1583" t="s">
        <v>42</v>
      </c>
      <c r="E1583" t="s">
        <v>684</v>
      </c>
      <c r="F1583">
        <v>-81325</v>
      </c>
      <c r="G1583" t="s">
        <v>653</v>
      </c>
    </row>
    <row r="1584" spans="1:7" x14ac:dyDescent="0.3">
      <c r="A1584" s="42">
        <v>45971</v>
      </c>
      <c r="B1584" s="43">
        <v>0.4170949074074074</v>
      </c>
      <c r="C1584" t="s">
        <v>152</v>
      </c>
      <c r="D1584" t="s">
        <v>42</v>
      </c>
      <c r="E1584" t="s">
        <v>684</v>
      </c>
      <c r="F1584">
        <v>2124</v>
      </c>
      <c r="G1584" t="s">
        <v>182</v>
      </c>
    </row>
    <row r="1585" spans="1:7" x14ac:dyDescent="0.3">
      <c r="A1585" s="42">
        <v>45971</v>
      </c>
      <c r="B1585" s="43">
        <v>0.4170949074074074</v>
      </c>
      <c r="C1585" t="s">
        <v>152</v>
      </c>
      <c r="D1585" t="s">
        <v>42</v>
      </c>
      <c r="E1585" t="s">
        <v>684</v>
      </c>
      <c r="F1585">
        <v>5475</v>
      </c>
      <c r="G1585" t="s">
        <v>199</v>
      </c>
    </row>
    <row r="1586" spans="1:7" x14ac:dyDescent="0.3">
      <c r="A1586" s="42">
        <v>45971</v>
      </c>
      <c r="B1586" s="43">
        <v>0.4170949074074074</v>
      </c>
      <c r="C1586" t="s">
        <v>152</v>
      </c>
      <c r="D1586" t="s">
        <v>42</v>
      </c>
      <c r="E1586" t="s">
        <v>684</v>
      </c>
      <c r="F1586">
        <v>117101</v>
      </c>
      <c r="G1586" t="s">
        <v>653</v>
      </c>
    </row>
    <row r="1587" spans="1:7" x14ac:dyDescent="0.3">
      <c r="A1587" s="42">
        <v>45971</v>
      </c>
      <c r="B1587" s="43">
        <v>0.36505787037037041</v>
      </c>
      <c r="C1587" t="s">
        <v>155</v>
      </c>
      <c r="D1587" t="s">
        <v>163</v>
      </c>
      <c r="E1587" t="s">
        <v>530</v>
      </c>
      <c r="F1587">
        <v>-1000000</v>
      </c>
      <c r="G1587" t="s">
        <v>66</v>
      </c>
    </row>
    <row r="1588" spans="1:7" x14ac:dyDescent="0.3">
      <c r="A1588" s="42">
        <v>45971</v>
      </c>
      <c r="B1588" s="43">
        <v>0.36505787037037041</v>
      </c>
      <c r="C1588" t="s">
        <v>155</v>
      </c>
      <c r="D1588" t="s">
        <v>163</v>
      </c>
      <c r="E1588" t="s">
        <v>7</v>
      </c>
      <c r="F1588">
        <v>1000000</v>
      </c>
      <c r="G1588" t="s">
        <v>61</v>
      </c>
    </row>
    <row r="1589" spans="1:7" x14ac:dyDescent="0.3">
      <c r="A1589" s="42">
        <v>45971</v>
      </c>
      <c r="B1589" s="43">
        <v>4.2372685185185187E-2</v>
      </c>
      <c r="C1589" t="s">
        <v>152</v>
      </c>
      <c r="D1589" t="s">
        <v>48</v>
      </c>
      <c r="E1589" t="s">
        <v>311</v>
      </c>
      <c r="F1589">
        <v>-39930</v>
      </c>
      <c r="G1589" t="s">
        <v>154</v>
      </c>
    </row>
    <row r="1590" spans="1:7" x14ac:dyDescent="0.3">
      <c r="A1590" s="42">
        <v>45971</v>
      </c>
      <c r="B1590" s="43">
        <v>4.2372685185185187E-2</v>
      </c>
      <c r="C1590" t="s">
        <v>152</v>
      </c>
      <c r="D1590" t="s">
        <v>48</v>
      </c>
      <c r="E1590" t="s">
        <v>311</v>
      </c>
      <c r="F1590">
        <v>-31700</v>
      </c>
      <c r="G1590" t="s">
        <v>154</v>
      </c>
    </row>
    <row r="1591" spans="1:7" x14ac:dyDescent="0.3">
      <c r="A1591" s="42">
        <v>45970</v>
      </c>
      <c r="B1591" s="43">
        <v>0.93141203703703701</v>
      </c>
      <c r="C1591" t="s">
        <v>152</v>
      </c>
      <c r="D1591" t="s">
        <v>40</v>
      </c>
      <c r="E1591" t="s">
        <v>685</v>
      </c>
      <c r="F1591">
        <v>-4500</v>
      </c>
      <c r="G1591" t="s">
        <v>180</v>
      </c>
    </row>
    <row r="1592" spans="1:7" x14ac:dyDescent="0.3">
      <c r="A1592" s="42">
        <v>45970</v>
      </c>
      <c r="B1592" s="43">
        <v>0.44350694444444438</v>
      </c>
      <c r="C1592" t="s">
        <v>152</v>
      </c>
      <c r="D1592" t="s">
        <v>36</v>
      </c>
      <c r="E1592" t="s">
        <v>244</v>
      </c>
      <c r="F1592">
        <v>-2000</v>
      </c>
      <c r="G1592" t="s">
        <v>161</v>
      </c>
    </row>
    <row r="1593" spans="1:7" x14ac:dyDescent="0.3">
      <c r="A1593" s="42">
        <v>45970</v>
      </c>
      <c r="B1593" s="43">
        <v>0.44350694444444438</v>
      </c>
      <c r="C1593" t="s">
        <v>152</v>
      </c>
      <c r="D1593" t="s">
        <v>36</v>
      </c>
      <c r="E1593" t="s">
        <v>226</v>
      </c>
      <c r="F1593">
        <v>-3000</v>
      </c>
      <c r="G1593" t="s">
        <v>161</v>
      </c>
    </row>
    <row r="1594" spans="1:7" x14ac:dyDescent="0.3">
      <c r="A1594" s="42">
        <v>45970</v>
      </c>
      <c r="B1594" s="43">
        <v>0</v>
      </c>
      <c r="C1594" t="s">
        <v>152</v>
      </c>
      <c r="D1594" t="s">
        <v>35</v>
      </c>
      <c r="E1594" t="s">
        <v>678</v>
      </c>
      <c r="F1594">
        <v>5000</v>
      </c>
      <c r="G1594" t="s">
        <v>180</v>
      </c>
    </row>
    <row r="1595" spans="1:7" x14ac:dyDescent="0.3">
      <c r="A1595" s="42">
        <v>45969</v>
      </c>
      <c r="B1595" s="43">
        <v>0.8365393518518518</v>
      </c>
      <c r="C1595" t="s">
        <v>152</v>
      </c>
      <c r="D1595" t="s">
        <v>44</v>
      </c>
      <c r="E1595" t="s">
        <v>190</v>
      </c>
      <c r="F1595">
        <v>-11910</v>
      </c>
      <c r="G1595" t="s">
        <v>154</v>
      </c>
    </row>
    <row r="1596" spans="1:7" x14ac:dyDescent="0.3">
      <c r="A1596" s="42">
        <v>45969</v>
      </c>
      <c r="B1596" s="43">
        <v>0.41744212962962962</v>
      </c>
      <c r="C1596" t="s">
        <v>152</v>
      </c>
      <c r="D1596" t="s">
        <v>36</v>
      </c>
      <c r="E1596" t="s">
        <v>243</v>
      </c>
      <c r="F1596">
        <v>-1500</v>
      </c>
      <c r="G1596" t="s">
        <v>161</v>
      </c>
    </row>
    <row r="1597" spans="1:7" x14ac:dyDescent="0.3">
      <c r="A1597" s="42">
        <v>45969</v>
      </c>
      <c r="B1597" s="43">
        <v>0.41744212962962962</v>
      </c>
      <c r="C1597" t="s">
        <v>152</v>
      </c>
      <c r="D1597" t="s">
        <v>36</v>
      </c>
      <c r="E1597" t="s">
        <v>244</v>
      </c>
      <c r="F1597">
        <v>-1900</v>
      </c>
      <c r="G1597" t="s">
        <v>161</v>
      </c>
    </row>
    <row r="1598" spans="1:7" x14ac:dyDescent="0.3">
      <c r="A1598" s="42">
        <v>45968</v>
      </c>
      <c r="B1598" s="43">
        <v>0.74193287037037037</v>
      </c>
      <c r="C1598" t="s">
        <v>152</v>
      </c>
      <c r="D1598" t="s">
        <v>38</v>
      </c>
      <c r="E1598" t="s">
        <v>686</v>
      </c>
      <c r="F1598">
        <v>-15500</v>
      </c>
      <c r="G1598" t="s">
        <v>154</v>
      </c>
    </row>
    <row r="1599" spans="1:7" x14ac:dyDescent="0.3">
      <c r="A1599" s="42">
        <v>45968</v>
      </c>
      <c r="B1599" s="43">
        <v>0.73905092592592592</v>
      </c>
      <c r="C1599" t="s">
        <v>152</v>
      </c>
      <c r="D1599" t="s">
        <v>38</v>
      </c>
      <c r="E1599" t="s">
        <v>686</v>
      </c>
      <c r="F1599">
        <v>-14800</v>
      </c>
      <c r="G1599" t="s">
        <v>154</v>
      </c>
    </row>
    <row r="1600" spans="1:7" x14ac:dyDescent="0.3">
      <c r="A1600" s="42">
        <v>45968</v>
      </c>
      <c r="B1600" s="43">
        <v>0.72559027777777774</v>
      </c>
      <c r="C1600" t="s">
        <v>155</v>
      </c>
      <c r="D1600" t="s">
        <v>163</v>
      </c>
      <c r="E1600" t="s">
        <v>166</v>
      </c>
      <c r="F1600">
        <v>-10000</v>
      </c>
      <c r="G1600" t="s">
        <v>61</v>
      </c>
    </row>
    <row r="1601" spans="1:7" x14ac:dyDescent="0.3">
      <c r="A1601" s="42">
        <v>45968</v>
      </c>
      <c r="B1601" s="43">
        <v>0.7255787037037037</v>
      </c>
      <c r="C1601" t="s">
        <v>155</v>
      </c>
      <c r="D1601" t="s">
        <v>163</v>
      </c>
      <c r="E1601" t="s">
        <v>164</v>
      </c>
      <c r="F1601">
        <v>10000</v>
      </c>
      <c r="G1601" t="s">
        <v>158</v>
      </c>
    </row>
    <row r="1602" spans="1:7" x14ac:dyDescent="0.3">
      <c r="A1602" s="42">
        <v>45968</v>
      </c>
      <c r="B1602" s="43">
        <v>0.7255787037037037</v>
      </c>
      <c r="C1602" t="s">
        <v>152</v>
      </c>
      <c r="D1602" t="s">
        <v>40</v>
      </c>
      <c r="E1602" t="s">
        <v>687</v>
      </c>
      <c r="F1602">
        <v>-1800</v>
      </c>
      <c r="G1602" t="s">
        <v>236</v>
      </c>
    </row>
    <row r="1603" spans="1:7" x14ac:dyDescent="0.3">
      <c r="A1603" s="42">
        <v>45968</v>
      </c>
      <c r="B1603" s="43">
        <v>0.62967592592592592</v>
      </c>
      <c r="C1603" t="s">
        <v>155</v>
      </c>
      <c r="D1603" t="s">
        <v>163</v>
      </c>
      <c r="E1603" t="s">
        <v>7</v>
      </c>
      <c r="F1603">
        <v>1000000</v>
      </c>
      <c r="G1603" t="s">
        <v>61</v>
      </c>
    </row>
    <row r="1604" spans="1:7" x14ac:dyDescent="0.3">
      <c r="A1604" s="42">
        <v>45968</v>
      </c>
      <c r="B1604" s="43">
        <v>0.62966435185185188</v>
      </c>
      <c r="C1604" t="s">
        <v>155</v>
      </c>
      <c r="D1604" t="s">
        <v>163</v>
      </c>
      <c r="E1604" t="s">
        <v>530</v>
      </c>
      <c r="F1604">
        <v>-1000000</v>
      </c>
      <c r="G1604" t="s">
        <v>66</v>
      </c>
    </row>
    <row r="1605" spans="1:7" x14ac:dyDescent="0.3">
      <c r="A1605" s="42">
        <v>45968</v>
      </c>
      <c r="B1605" s="43">
        <v>0.59744212962962961</v>
      </c>
      <c r="C1605" t="s">
        <v>152</v>
      </c>
      <c r="D1605" t="s">
        <v>38</v>
      </c>
      <c r="E1605" t="s">
        <v>686</v>
      </c>
      <c r="F1605">
        <v>-15200</v>
      </c>
      <c r="G1605" t="s">
        <v>154</v>
      </c>
    </row>
    <row r="1606" spans="1:7" x14ac:dyDescent="0.3">
      <c r="A1606" s="42">
        <v>45968</v>
      </c>
      <c r="B1606" s="43">
        <v>0.51763888888888887</v>
      </c>
      <c r="C1606" t="s">
        <v>152</v>
      </c>
      <c r="D1606" t="s">
        <v>38</v>
      </c>
      <c r="E1606" t="s">
        <v>686</v>
      </c>
      <c r="F1606">
        <v>-27900</v>
      </c>
      <c r="G1606" t="s">
        <v>154</v>
      </c>
    </row>
    <row r="1607" spans="1:7" x14ac:dyDescent="0.3">
      <c r="A1607" s="42">
        <v>45968</v>
      </c>
      <c r="B1607" s="43">
        <v>0.43636574074074069</v>
      </c>
      <c r="C1607" t="s">
        <v>152</v>
      </c>
      <c r="D1607" t="s">
        <v>36</v>
      </c>
      <c r="E1607" t="s">
        <v>243</v>
      </c>
      <c r="F1607">
        <v>-1500</v>
      </c>
      <c r="G1607" t="s">
        <v>161</v>
      </c>
    </row>
    <row r="1608" spans="1:7" x14ac:dyDescent="0.3">
      <c r="A1608" s="42">
        <v>45968</v>
      </c>
      <c r="B1608" s="43">
        <v>0.43636574074074069</v>
      </c>
      <c r="C1608" t="s">
        <v>152</v>
      </c>
      <c r="D1608" t="s">
        <v>36</v>
      </c>
      <c r="E1608" t="s">
        <v>244</v>
      </c>
      <c r="F1608">
        <v>-2000</v>
      </c>
      <c r="G1608" t="s">
        <v>161</v>
      </c>
    </row>
    <row r="1609" spans="1:7" x14ac:dyDescent="0.3">
      <c r="A1609" s="42">
        <v>45967</v>
      </c>
      <c r="B1609" s="43">
        <v>0.90172453703703703</v>
      </c>
      <c r="C1609" t="s">
        <v>155</v>
      </c>
      <c r="D1609" t="s">
        <v>163</v>
      </c>
      <c r="E1609" t="s">
        <v>164</v>
      </c>
      <c r="F1609">
        <v>18822</v>
      </c>
      <c r="G1609" t="s">
        <v>158</v>
      </c>
    </row>
    <row r="1610" spans="1:7" x14ac:dyDescent="0.3">
      <c r="A1610" s="42">
        <v>45967</v>
      </c>
      <c r="B1610" s="43">
        <v>0.90172453703703703</v>
      </c>
      <c r="C1610" t="s">
        <v>152</v>
      </c>
      <c r="D1610" t="s">
        <v>37</v>
      </c>
      <c r="E1610" t="s">
        <v>165</v>
      </c>
      <c r="F1610">
        <v>-25000</v>
      </c>
      <c r="G1610" t="s">
        <v>158</v>
      </c>
    </row>
    <row r="1611" spans="1:7" x14ac:dyDescent="0.3">
      <c r="A1611" s="42">
        <v>45967</v>
      </c>
      <c r="B1611" s="43">
        <v>0.90172453703703703</v>
      </c>
      <c r="C1611" t="s">
        <v>155</v>
      </c>
      <c r="D1611" t="s">
        <v>163</v>
      </c>
      <c r="E1611" t="s">
        <v>166</v>
      </c>
      <c r="F1611">
        <v>-18822</v>
      </c>
      <c r="G1611" t="s">
        <v>61</v>
      </c>
    </row>
    <row r="1612" spans="1:7" x14ac:dyDescent="0.3">
      <c r="A1612" s="42">
        <v>45967</v>
      </c>
      <c r="B1612" s="43">
        <v>0.65209490740740739</v>
      </c>
      <c r="C1612" t="s">
        <v>152</v>
      </c>
      <c r="D1612" t="s">
        <v>50</v>
      </c>
      <c r="E1612" t="s">
        <v>325</v>
      </c>
      <c r="F1612">
        <v>-28000</v>
      </c>
      <c r="G1612" t="s">
        <v>182</v>
      </c>
    </row>
    <row r="1613" spans="1:7" x14ac:dyDescent="0.3">
      <c r="A1613" s="42">
        <v>45967</v>
      </c>
      <c r="B1613" s="43">
        <v>0.50146990740740738</v>
      </c>
      <c r="C1613" t="s">
        <v>152</v>
      </c>
      <c r="D1613" t="s">
        <v>42</v>
      </c>
      <c r="E1613" t="s">
        <v>684</v>
      </c>
      <c r="F1613">
        <v>-5475</v>
      </c>
      <c r="G1613" t="s">
        <v>199</v>
      </c>
    </row>
    <row r="1614" spans="1:7" x14ac:dyDescent="0.3">
      <c r="A1614" s="42">
        <v>45967</v>
      </c>
      <c r="B1614" s="43">
        <v>0.50146990740740738</v>
      </c>
      <c r="C1614" t="s">
        <v>152</v>
      </c>
      <c r="D1614" t="s">
        <v>42</v>
      </c>
      <c r="E1614" t="s">
        <v>684</v>
      </c>
      <c r="F1614">
        <v>-117101</v>
      </c>
      <c r="G1614" t="s">
        <v>653</v>
      </c>
    </row>
    <row r="1615" spans="1:7" x14ac:dyDescent="0.3">
      <c r="A1615" s="42">
        <v>45967</v>
      </c>
      <c r="B1615" s="43">
        <v>0.50146990740740738</v>
      </c>
      <c r="C1615" t="s">
        <v>152</v>
      </c>
      <c r="D1615" t="s">
        <v>42</v>
      </c>
      <c r="E1615" t="s">
        <v>684</v>
      </c>
      <c r="F1615">
        <v>-2124</v>
      </c>
      <c r="G1615" t="s">
        <v>182</v>
      </c>
    </row>
    <row r="1616" spans="1:7" x14ac:dyDescent="0.3">
      <c r="A1616" s="42">
        <v>45967</v>
      </c>
      <c r="B1616" s="43">
        <v>0.50032407407407409</v>
      </c>
      <c r="C1616" t="s">
        <v>152</v>
      </c>
      <c r="D1616" t="s">
        <v>42</v>
      </c>
      <c r="E1616" t="s">
        <v>684</v>
      </c>
      <c r="F1616">
        <v>5475</v>
      </c>
      <c r="G1616" t="s">
        <v>199</v>
      </c>
    </row>
    <row r="1617" spans="1:7" x14ac:dyDescent="0.3">
      <c r="A1617" s="42">
        <v>45967</v>
      </c>
      <c r="B1617" s="43">
        <v>0.50032407407407409</v>
      </c>
      <c r="C1617" t="s">
        <v>152</v>
      </c>
      <c r="D1617" t="s">
        <v>42</v>
      </c>
      <c r="E1617" t="s">
        <v>684</v>
      </c>
      <c r="F1617">
        <v>77325</v>
      </c>
      <c r="G1617" t="s">
        <v>653</v>
      </c>
    </row>
    <row r="1618" spans="1:7" x14ac:dyDescent="0.3">
      <c r="A1618" s="42">
        <v>45967</v>
      </c>
      <c r="B1618" s="43">
        <v>0.50005787037037042</v>
      </c>
      <c r="C1618" t="s">
        <v>152</v>
      </c>
      <c r="D1618" t="s">
        <v>42</v>
      </c>
      <c r="E1618" t="s">
        <v>684</v>
      </c>
      <c r="F1618">
        <v>-5475</v>
      </c>
      <c r="G1618" t="s">
        <v>199</v>
      </c>
    </row>
    <row r="1619" spans="1:7" x14ac:dyDescent="0.3">
      <c r="A1619" s="42">
        <v>45967</v>
      </c>
      <c r="B1619" s="43">
        <v>0.50005787037037042</v>
      </c>
      <c r="C1619" t="s">
        <v>152</v>
      </c>
      <c r="D1619" t="s">
        <v>42</v>
      </c>
      <c r="E1619" t="s">
        <v>684</v>
      </c>
      <c r="F1619">
        <v>-77325</v>
      </c>
      <c r="G1619" t="s">
        <v>653</v>
      </c>
    </row>
    <row r="1620" spans="1:7" x14ac:dyDescent="0.3">
      <c r="A1620" s="42">
        <v>45967</v>
      </c>
      <c r="B1620" s="43">
        <v>0.49898148148148153</v>
      </c>
      <c r="C1620" t="s">
        <v>152</v>
      </c>
      <c r="D1620" t="s">
        <v>42</v>
      </c>
      <c r="E1620" t="s">
        <v>684</v>
      </c>
      <c r="F1620">
        <v>5475</v>
      </c>
      <c r="G1620" t="s">
        <v>199</v>
      </c>
    </row>
    <row r="1621" spans="1:7" x14ac:dyDescent="0.3">
      <c r="A1621" s="42">
        <v>45967</v>
      </c>
      <c r="B1621" s="43">
        <v>0.49898148148148153</v>
      </c>
      <c r="C1621" t="s">
        <v>152</v>
      </c>
      <c r="D1621" t="s">
        <v>42</v>
      </c>
      <c r="E1621" t="s">
        <v>684</v>
      </c>
      <c r="F1621">
        <v>77325</v>
      </c>
      <c r="G1621" t="s">
        <v>653</v>
      </c>
    </row>
    <row r="1622" spans="1:7" x14ac:dyDescent="0.3">
      <c r="A1622" s="42">
        <v>45967</v>
      </c>
      <c r="B1622" s="43">
        <v>0.49854166666666672</v>
      </c>
      <c r="C1622" t="s">
        <v>152</v>
      </c>
      <c r="D1622" t="s">
        <v>42</v>
      </c>
      <c r="E1622" t="s">
        <v>684</v>
      </c>
      <c r="F1622">
        <v>-5475</v>
      </c>
      <c r="G1622" t="s">
        <v>199</v>
      </c>
    </row>
    <row r="1623" spans="1:7" x14ac:dyDescent="0.3">
      <c r="A1623" s="42">
        <v>45967</v>
      </c>
      <c r="B1623" s="43">
        <v>0.49854166666666672</v>
      </c>
      <c r="C1623" t="s">
        <v>152</v>
      </c>
      <c r="D1623" t="s">
        <v>42</v>
      </c>
      <c r="E1623" t="s">
        <v>684</v>
      </c>
      <c r="F1623">
        <v>-77325</v>
      </c>
      <c r="G1623" t="s">
        <v>653</v>
      </c>
    </row>
    <row r="1624" spans="1:7" x14ac:dyDescent="0.3">
      <c r="A1624" s="42">
        <v>45967</v>
      </c>
      <c r="B1624" s="43">
        <v>0.43413194444444442</v>
      </c>
      <c r="C1624" t="s">
        <v>152</v>
      </c>
      <c r="D1624" t="s">
        <v>36</v>
      </c>
      <c r="E1624" t="s">
        <v>244</v>
      </c>
      <c r="F1624">
        <v>-500</v>
      </c>
      <c r="G1624" t="s">
        <v>161</v>
      </c>
    </row>
    <row r="1625" spans="1:7" x14ac:dyDescent="0.3">
      <c r="A1625" s="42">
        <v>45967</v>
      </c>
      <c r="B1625" s="43">
        <v>0.43413194444444442</v>
      </c>
      <c r="C1625" t="s">
        <v>152</v>
      </c>
      <c r="D1625" t="s">
        <v>36</v>
      </c>
      <c r="E1625" t="s">
        <v>226</v>
      </c>
      <c r="F1625">
        <v>-3000</v>
      </c>
      <c r="G1625" t="s">
        <v>161</v>
      </c>
    </row>
    <row r="1626" spans="1:7" x14ac:dyDescent="0.3">
      <c r="A1626" s="42">
        <v>45967</v>
      </c>
      <c r="B1626" s="43">
        <v>0.33589120370370368</v>
      </c>
      <c r="C1626" t="s">
        <v>155</v>
      </c>
      <c r="D1626" t="s">
        <v>163</v>
      </c>
      <c r="E1626" t="s">
        <v>530</v>
      </c>
      <c r="F1626">
        <v>-1000000</v>
      </c>
      <c r="G1626" t="s">
        <v>66</v>
      </c>
    </row>
    <row r="1627" spans="1:7" x14ac:dyDescent="0.3">
      <c r="A1627" s="42">
        <v>45967</v>
      </c>
      <c r="B1627" s="43">
        <v>0.33589120370370368</v>
      </c>
      <c r="C1627" t="s">
        <v>155</v>
      </c>
      <c r="D1627" t="s">
        <v>163</v>
      </c>
      <c r="E1627" t="s">
        <v>7</v>
      </c>
      <c r="F1627">
        <v>1000000</v>
      </c>
      <c r="G1627" t="s">
        <v>61</v>
      </c>
    </row>
    <row r="1628" spans="1:7" x14ac:dyDescent="0.3">
      <c r="A1628" s="42">
        <v>45966</v>
      </c>
      <c r="B1628" s="43">
        <v>0.96245370370370376</v>
      </c>
      <c r="C1628" t="s">
        <v>152</v>
      </c>
      <c r="D1628" t="s">
        <v>44</v>
      </c>
      <c r="E1628" t="s">
        <v>536</v>
      </c>
      <c r="F1628">
        <v>-177883</v>
      </c>
      <c r="G1628" t="s">
        <v>154</v>
      </c>
    </row>
    <row r="1629" spans="1:7" x14ac:dyDescent="0.3">
      <c r="A1629" s="42">
        <v>45966</v>
      </c>
      <c r="B1629" s="43">
        <v>0.95285879629629633</v>
      </c>
      <c r="C1629" t="s">
        <v>152</v>
      </c>
      <c r="D1629" t="s">
        <v>50</v>
      </c>
      <c r="E1629" t="s">
        <v>325</v>
      </c>
      <c r="F1629">
        <v>-26670</v>
      </c>
      <c r="G1629" t="s">
        <v>182</v>
      </c>
    </row>
    <row r="1630" spans="1:7" x14ac:dyDescent="0.3">
      <c r="A1630" s="42">
        <v>45966</v>
      </c>
      <c r="B1630" s="43">
        <v>0.77443287037037034</v>
      </c>
      <c r="C1630" t="s">
        <v>152</v>
      </c>
      <c r="D1630" t="s">
        <v>42</v>
      </c>
      <c r="E1630" t="s">
        <v>688</v>
      </c>
      <c r="F1630">
        <v>-5400</v>
      </c>
      <c r="G1630" t="s">
        <v>154</v>
      </c>
    </row>
    <row r="1631" spans="1:7" x14ac:dyDescent="0.3">
      <c r="A1631" s="42">
        <v>45966</v>
      </c>
      <c r="B1631" s="43">
        <v>0.41053240740740737</v>
      </c>
      <c r="C1631" t="s">
        <v>152</v>
      </c>
      <c r="D1631" t="s">
        <v>36</v>
      </c>
      <c r="E1631" t="s">
        <v>232</v>
      </c>
      <c r="F1631">
        <v>-1550</v>
      </c>
      <c r="G1631" t="s">
        <v>161</v>
      </c>
    </row>
    <row r="1632" spans="1:7" x14ac:dyDescent="0.3">
      <c r="A1632" s="42">
        <v>45965</v>
      </c>
      <c r="B1632" s="43">
        <v>0.94976851851851851</v>
      </c>
      <c r="C1632" t="s">
        <v>152</v>
      </c>
      <c r="D1632" t="s">
        <v>50</v>
      </c>
      <c r="E1632" t="s">
        <v>325</v>
      </c>
      <c r="F1632">
        <v>-126000</v>
      </c>
      <c r="G1632" t="s">
        <v>182</v>
      </c>
    </row>
    <row r="1633" spans="1:7" x14ac:dyDescent="0.3">
      <c r="A1633" s="42">
        <v>45965</v>
      </c>
      <c r="B1633" s="43">
        <v>0.86824074074074076</v>
      </c>
      <c r="C1633" t="s">
        <v>152</v>
      </c>
      <c r="D1633" t="s">
        <v>40</v>
      </c>
      <c r="E1633" t="s">
        <v>393</v>
      </c>
      <c r="F1633">
        <v>-20800</v>
      </c>
      <c r="G1633" t="s">
        <v>154</v>
      </c>
    </row>
    <row r="1634" spans="1:7" x14ac:dyDescent="0.3">
      <c r="A1634" s="42">
        <v>45965</v>
      </c>
      <c r="B1634" s="43">
        <v>0.86166666666666669</v>
      </c>
      <c r="C1634" t="s">
        <v>152</v>
      </c>
      <c r="D1634" t="s">
        <v>49</v>
      </c>
      <c r="E1634" t="s">
        <v>669</v>
      </c>
      <c r="F1634">
        <v>-2200</v>
      </c>
      <c r="G1634" t="s">
        <v>186</v>
      </c>
    </row>
    <row r="1635" spans="1:7" x14ac:dyDescent="0.3">
      <c r="A1635" s="42">
        <v>45965</v>
      </c>
      <c r="B1635" s="43">
        <v>0.64178240740740744</v>
      </c>
      <c r="C1635" t="s">
        <v>155</v>
      </c>
      <c r="D1635" t="s">
        <v>155</v>
      </c>
      <c r="E1635" t="s">
        <v>210</v>
      </c>
      <c r="F1635">
        <v>213000</v>
      </c>
      <c r="G1635" t="s">
        <v>60</v>
      </c>
    </row>
    <row r="1636" spans="1:7" x14ac:dyDescent="0.3">
      <c r="A1636" s="42">
        <v>45965</v>
      </c>
      <c r="B1636" s="43">
        <v>0.34990740740740739</v>
      </c>
      <c r="C1636" t="s">
        <v>155</v>
      </c>
      <c r="D1636" t="s">
        <v>163</v>
      </c>
      <c r="E1636" t="s">
        <v>530</v>
      </c>
      <c r="F1636">
        <v>-1000000</v>
      </c>
      <c r="G1636" t="s">
        <v>66</v>
      </c>
    </row>
    <row r="1637" spans="1:7" x14ac:dyDescent="0.3">
      <c r="A1637" s="42">
        <v>45965</v>
      </c>
      <c r="B1637" s="43">
        <v>0.34990740740740739</v>
      </c>
      <c r="C1637" t="s">
        <v>155</v>
      </c>
      <c r="D1637" t="s">
        <v>163</v>
      </c>
      <c r="E1637" t="s">
        <v>7</v>
      </c>
      <c r="F1637">
        <v>1000000</v>
      </c>
      <c r="G1637" t="s">
        <v>61</v>
      </c>
    </row>
    <row r="1638" spans="1:7" x14ac:dyDescent="0.3">
      <c r="A1638" s="42">
        <v>45965</v>
      </c>
      <c r="B1638" s="43">
        <v>0</v>
      </c>
      <c r="C1638" t="s">
        <v>152</v>
      </c>
      <c r="D1638" t="s">
        <v>35</v>
      </c>
      <c r="E1638" t="s">
        <v>678</v>
      </c>
      <c r="F1638">
        <v>13000</v>
      </c>
      <c r="G1638" t="s">
        <v>180</v>
      </c>
    </row>
    <row r="1639" spans="1:7" x14ac:dyDescent="0.3">
      <c r="A1639" s="42">
        <v>45964</v>
      </c>
      <c r="B1639" s="43">
        <v>0.8401967592592593</v>
      </c>
      <c r="C1639" t="s">
        <v>152</v>
      </c>
      <c r="D1639" t="s">
        <v>38</v>
      </c>
      <c r="E1639" t="s">
        <v>689</v>
      </c>
      <c r="F1639">
        <v>-100000</v>
      </c>
      <c r="G1639" t="s">
        <v>60</v>
      </c>
    </row>
    <row r="1640" spans="1:7" x14ac:dyDescent="0.3">
      <c r="A1640" s="42">
        <v>45964</v>
      </c>
      <c r="B1640" s="43">
        <v>0.80276620370370366</v>
      </c>
      <c r="C1640" t="s">
        <v>155</v>
      </c>
      <c r="D1640" t="s">
        <v>213</v>
      </c>
      <c r="E1640" t="s">
        <v>214</v>
      </c>
      <c r="F1640">
        <v>-54140</v>
      </c>
      <c r="G1640" t="s">
        <v>61</v>
      </c>
    </row>
    <row r="1641" spans="1:7" x14ac:dyDescent="0.3">
      <c r="A1641" s="42">
        <v>45964</v>
      </c>
      <c r="B1641" s="43">
        <v>0.70403935185185185</v>
      </c>
      <c r="C1641" t="s">
        <v>152</v>
      </c>
      <c r="D1641" t="s">
        <v>42</v>
      </c>
      <c r="E1641" t="s">
        <v>690</v>
      </c>
      <c r="F1641">
        <v>5475</v>
      </c>
      <c r="G1641" t="s">
        <v>199</v>
      </c>
    </row>
    <row r="1642" spans="1:7" x14ac:dyDescent="0.3">
      <c r="A1642" s="42">
        <v>45964</v>
      </c>
      <c r="B1642" s="43">
        <v>0.70403935185185185</v>
      </c>
      <c r="C1642" t="s">
        <v>152</v>
      </c>
      <c r="D1642" t="s">
        <v>42</v>
      </c>
      <c r="E1642" t="s">
        <v>690</v>
      </c>
      <c r="F1642">
        <v>9965</v>
      </c>
      <c r="G1642" t="s">
        <v>653</v>
      </c>
    </row>
    <row r="1643" spans="1:7" x14ac:dyDescent="0.3">
      <c r="A1643" s="42">
        <v>45964</v>
      </c>
      <c r="B1643" s="43">
        <v>0.70285879629629633</v>
      </c>
      <c r="C1643" t="s">
        <v>152</v>
      </c>
      <c r="D1643" t="s">
        <v>42</v>
      </c>
      <c r="E1643" t="s">
        <v>690</v>
      </c>
      <c r="F1643">
        <v>-5475</v>
      </c>
      <c r="G1643" t="s">
        <v>199</v>
      </c>
    </row>
    <row r="1644" spans="1:7" x14ac:dyDescent="0.3">
      <c r="A1644" s="42">
        <v>45964</v>
      </c>
      <c r="B1644" s="43">
        <v>0.70285879629629633</v>
      </c>
      <c r="C1644" t="s">
        <v>152</v>
      </c>
      <c r="D1644" t="s">
        <v>42</v>
      </c>
      <c r="E1644" t="s">
        <v>690</v>
      </c>
      <c r="F1644">
        <v>-9965</v>
      </c>
      <c r="G1644" t="s">
        <v>653</v>
      </c>
    </row>
    <row r="1645" spans="1:7" x14ac:dyDescent="0.3">
      <c r="A1645" s="42">
        <v>45964</v>
      </c>
      <c r="B1645" s="43">
        <v>0.66224537037037035</v>
      </c>
      <c r="C1645" t="s">
        <v>152</v>
      </c>
      <c r="D1645" t="s">
        <v>50</v>
      </c>
      <c r="E1645" t="s">
        <v>184</v>
      </c>
      <c r="F1645">
        <v>-1600</v>
      </c>
      <c r="G1645" t="s">
        <v>186</v>
      </c>
    </row>
    <row r="1646" spans="1:7" x14ac:dyDescent="0.3">
      <c r="A1646" s="42">
        <v>45964</v>
      </c>
      <c r="B1646" s="43">
        <v>0.59383101851851849</v>
      </c>
      <c r="C1646" t="s">
        <v>152</v>
      </c>
      <c r="D1646" t="s">
        <v>44</v>
      </c>
      <c r="E1646" t="s">
        <v>190</v>
      </c>
      <c r="F1646">
        <v>-73040</v>
      </c>
      <c r="G1646" t="s">
        <v>154</v>
      </c>
    </row>
    <row r="1647" spans="1:7" x14ac:dyDescent="0.3">
      <c r="A1647" s="42">
        <v>45964</v>
      </c>
      <c r="B1647" s="43">
        <v>0.48774305555555558</v>
      </c>
      <c r="C1647" t="s">
        <v>152</v>
      </c>
      <c r="D1647" t="s">
        <v>42</v>
      </c>
      <c r="E1647" t="s">
        <v>691</v>
      </c>
      <c r="F1647">
        <v>-39000</v>
      </c>
      <c r="G1647" t="s">
        <v>186</v>
      </c>
    </row>
    <row r="1648" spans="1:7" x14ac:dyDescent="0.3">
      <c r="A1648" s="42">
        <v>45964</v>
      </c>
      <c r="B1648" s="43">
        <v>0.424375</v>
      </c>
      <c r="C1648" t="s">
        <v>152</v>
      </c>
      <c r="D1648" t="s">
        <v>36</v>
      </c>
      <c r="E1648" t="s">
        <v>243</v>
      </c>
      <c r="F1648">
        <v>-1500</v>
      </c>
      <c r="G1648" t="s">
        <v>161</v>
      </c>
    </row>
    <row r="1649" spans="1:7" x14ac:dyDescent="0.3">
      <c r="A1649" s="42">
        <v>45964</v>
      </c>
      <c r="B1649" s="43">
        <v>0.424375</v>
      </c>
      <c r="C1649" t="s">
        <v>152</v>
      </c>
      <c r="D1649" t="s">
        <v>36</v>
      </c>
      <c r="E1649" t="s">
        <v>244</v>
      </c>
      <c r="F1649">
        <v>-2000</v>
      </c>
      <c r="G1649" t="s">
        <v>161</v>
      </c>
    </row>
    <row r="1650" spans="1:7" x14ac:dyDescent="0.3">
      <c r="A1650" s="42">
        <v>45964</v>
      </c>
      <c r="B1650" s="43">
        <v>0</v>
      </c>
      <c r="C1650" t="s">
        <v>152</v>
      </c>
      <c r="D1650" t="s">
        <v>44</v>
      </c>
      <c r="E1650" t="s">
        <v>647</v>
      </c>
      <c r="F1650">
        <v>300</v>
      </c>
      <c r="G1650" t="s">
        <v>154</v>
      </c>
    </row>
    <row r="1651" spans="1:7" x14ac:dyDescent="0.3">
      <c r="A1651" s="42">
        <v>45963</v>
      </c>
      <c r="B1651" s="43">
        <v>0.61204861111111108</v>
      </c>
      <c r="C1651" t="s">
        <v>155</v>
      </c>
      <c r="D1651" t="s">
        <v>155</v>
      </c>
      <c r="E1651" t="s">
        <v>480</v>
      </c>
      <c r="F1651">
        <v>-200000</v>
      </c>
      <c r="G1651" t="s">
        <v>61</v>
      </c>
    </row>
    <row r="1652" spans="1:7" x14ac:dyDescent="0.3">
      <c r="A1652" s="42">
        <v>45963</v>
      </c>
      <c r="B1652" s="43">
        <v>0.59186342592592589</v>
      </c>
      <c r="C1652" t="s">
        <v>152</v>
      </c>
      <c r="D1652" t="s">
        <v>49</v>
      </c>
      <c r="E1652" t="s">
        <v>692</v>
      </c>
      <c r="F1652">
        <v>-15620</v>
      </c>
      <c r="G1652" t="s">
        <v>186</v>
      </c>
    </row>
    <row r="1653" spans="1:7" x14ac:dyDescent="0.3">
      <c r="A1653" s="42">
        <v>45963</v>
      </c>
      <c r="B1653" s="43">
        <v>0.48778935185185179</v>
      </c>
      <c r="C1653" t="s">
        <v>152</v>
      </c>
      <c r="D1653" t="s">
        <v>38</v>
      </c>
      <c r="E1653" t="s">
        <v>693</v>
      </c>
      <c r="F1653">
        <v>-29000</v>
      </c>
      <c r="G1653" t="s">
        <v>186</v>
      </c>
    </row>
    <row r="1654" spans="1:7" x14ac:dyDescent="0.3">
      <c r="A1654" s="42">
        <v>45963</v>
      </c>
      <c r="B1654" s="43">
        <v>0.48629629629629628</v>
      </c>
      <c r="C1654" t="s">
        <v>152</v>
      </c>
      <c r="D1654" t="s">
        <v>36</v>
      </c>
      <c r="E1654" t="s">
        <v>630</v>
      </c>
      <c r="F1654">
        <v>-6500</v>
      </c>
      <c r="G1654" t="s">
        <v>236</v>
      </c>
    </row>
    <row r="1655" spans="1:7" x14ac:dyDescent="0.3">
      <c r="A1655" s="42">
        <v>45963</v>
      </c>
      <c r="B1655" s="43">
        <v>0.47940972222222222</v>
      </c>
      <c r="C1655" t="s">
        <v>152</v>
      </c>
      <c r="D1655" t="s">
        <v>36</v>
      </c>
      <c r="E1655" t="s">
        <v>630</v>
      </c>
      <c r="F1655">
        <v>6300</v>
      </c>
      <c r="G1655" t="s">
        <v>236</v>
      </c>
    </row>
    <row r="1656" spans="1:7" x14ac:dyDescent="0.3">
      <c r="A1656" s="42">
        <v>45963</v>
      </c>
      <c r="B1656" s="43">
        <v>0.47939814814814807</v>
      </c>
      <c r="C1656" t="s">
        <v>152</v>
      </c>
      <c r="D1656" t="s">
        <v>36</v>
      </c>
      <c r="E1656" t="s">
        <v>630</v>
      </c>
      <c r="F1656">
        <v>-6300</v>
      </c>
      <c r="G1656" t="s">
        <v>236</v>
      </c>
    </row>
    <row r="1657" spans="1:7" x14ac:dyDescent="0.3">
      <c r="A1657" s="42">
        <v>45963</v>
      </c>
      <c r="B1657" s="43">
        <v>0.4166435185185185</v>
      </c>
      <c r="C1657" t="s">
        <v>152</v>
      </c>
      <c r="D1657" t="s">
        <v>36</v>
      </c>
      <c r="E1657" t="s">
        <v>244</v>
      </c>
      <c r="F1657">
        <v>-3300</v>
      </c>
      <c r="G1657" t="s">
        <v>161</v>
      </c>
    </row>
    <row r="1658" spans="1:7" x14ac:dyDescent="0.3">
      <c r="A1658" s="42">
        <v>45962</v>
      </c>
      <c r="B1658" s="43">
        <v>0.68042824074074071</v>
      </c>
      <c r="C1658" t="s">
        <v>152</v>
      </c>
      <c r="D1658" t="s">
        <v>40</v>
      </c>
      <c r="E1658" t="s">
        <v>694</v>
      </c>
      <c r="F1658">
        <v>-1500</v>
      </c>
      <c r="G1658" t="s">
        <v>186</v>
      </c>
    </row>
    <row r="1659" spans="1:7" x14ac:dyDescent="0.3">
      <c r="A1659" s="42">
        <v>45962</v>
      </c>
      <c r="B1659" s="43">
        <v>0.56869212962962967</v>
      </c>
      <c r="C1659" t="s">
        <v>152</v>
      </c>
      <c r="D1659" t="s">
        <v>49</v>
      </c>
      <c r="E1659" t="s">
        <v>288</v>
      </c>
      <c r="F1659">
        <v>-5800</v>
      </c>
      <c r="G1659" t="s">
        <v>154</v>
      </c>
    </row>
    <row r="1660" spans="1:7" x14ac:dyDescent="0.3">
      <c r="A1660" s="42">
        <v>45962</v>
      </c>
      <c r="B1660" s="43">
        <v>0.41998842592592589</v>
      </c>
      <c r="C1660" t="s">
        <v>155</v>
      </c>
      <c r="D1660" t="s">
        <v>163</v>
      </c>
      <c r="E1660" t="s">
        <v>7</v>
      </c>
      <c r="F1660">
        <v>1000000</v>
      </c>
      <c r="G1660" t="s">
        <v>61</v>
      </c>
    </row>
    <row r="1661" spans="1:7" x14ac:dyDescent="0.3">
      <c r="A1661" s="42">
        <v>45962</v>
      </c>
      <c r="B1661" s="43">
        <v>0.41997685185185191</v>
      </c>
      <c r="C1661" t="s">
        <v>155</v>
      </c>
      <c r="D1661" t="s">
        <v>163</v>
      </c>
      <c r="E1661" t="s">
        <v>530</v>
      </c>
      <c r="F1661">
        <v>-1000000</v>
      </c>
      <c r="G1661" t="s">
        <v>66</v>
      </c>
    </row>
    <row r="1662" spans="1:7" x14ac:dyDescent="0.3">
      <c r="A1662" s="42">
        <v>45962</v>
      </c>
      <c r="B1662" s="43">
        <v>0.41689814814814807</v>
      </c>
      <c r="C1662" t="s">
        <v>152</v>
      </c>
      <c r="D1662" t="s">
        <v>36</v>
      </c>
      <c r="E1662" t="s">
        <v>244</v>
      </c>
      <c r="F1662">
        <v>-500</v>
      </c>
      <c r="G1662" t="s">
        <v>161</v>
      </c>
    </row>
    <row r="1663" spans="1:7" x14ac:dyDescent="0.3">
      <c r="A1663" s="42">
        <v>45962</v>
      </c>
      <c r="B1663" s="43">
        <v>0.41689814814814807</v>
      </c>
      <c r="C1663" t="s">
        <v>152</v>
      </c>
      <c r="D1663" t="s">
        <v>36</v>
      </c>
      <c r="E1663" t="s">
        <v>226</v>
      </c>
      <c r="F1663">
        <v>-3000</v>
      </c>
      <c r="G1663" t="s">
        <v>161</v>
      </c>
    </row>
    <row r="1664" spans="1:7" x14ac:dyDescent="0.3">
      <c r="A1664" s="42">
        <v>45962</v>
      </c>
      <c r="B1664" s="43">
        <v>0.37812499999999999</v>
      </c>
      <c r="C1664" t="s">
        <v>152</v>
      </c>
      <c r="D1664" t="s">
        <v>49</v>
      </c>
      <c r="E1664" t="s">
        <v>695</v>
      </c>
      <c r="F1664">
        <v>-1200</v>
      </c>
      <c r="G1664" t="s">
        <v>186</v>
      </c>
    </row>
    <row r="1665" spans="1:7" x14ac:dyDescent="0.3">
      <c r="A1665" s="42">
        <v>45961</v>
      </c>
      <c r="B1665" s="43">
        <v>0.88405092592592593</v>
      </c>
      <c r="C1665" t="s">
        <v>155</v>
      </c>
      <c r="D1665" t="s">
        <v>163</v>
      </c>
      <c r="E1665" t="s">
        <v>7</v>
      </c>
      <c r="F1665">
        <v>-1000000</v>
      </c>
      <c r="G1665" t="s">
        <v>61</v>
      </c>
    </row>
    <row r="1666" spans="1:7" x14ac:dyDescent="0.3">
      <c r="A1666" s="42">
        <v>45961</v>
      </c>
      <c r="B1666" s="43">
        <v>0.88093750000000004</v>
      </c>
      <c r="C1666" t="s">
        <v>155</v>
      </c>
      <c r="D1666" t="s">
        <v>163</v>
      </c>
      <c r="E1666" t="s">
        <v>7</v>
      </c>
      <c r="F1666">
        <v>1000000</v>
      </c>
      <c r="G1666" t="s">
        <v>61</v>
      </c>
    </row>
    <row r="1667" spans="1:7" x14ac:dyDescent="0.3">
      <c r="A1667" s="42">
        <v>45961</v>
      </c>
      <c r="B1667" s="43">
        <v>0.88092592592592589</v>
      </c>
      <c r="C1667" t="s">
        <v>155</v>
      </c>
      <c r="D1667" t="s">
        <v>163</v>
      </c>
      <c r="E1667" t="s">
        <v>530</v>
      </c>
      <c r="F1667">
        <v>-1000000</v>
      </c>
      <c r="G1667" t="s">
        <v>66</v>
      </c>
    </row>
    <row r="1668" spans="1:7" x14ac:dyDescent="0.3">
      <c r="A1668" s="42">
        <v>45961</v>
      </c>
      <c r="B1668" s="43">
        <v>0.60197916666666662</v>
      </c>
      <c r="C1668" t="s">
        <v>152</v>
      </c>
      <c r="D1668" t="s">
        <v>49</v>
      </c>
      <c r="E1668" t="s">
        <v>288</v>
      </c>
      <c r="F1668">
        <v>-24900</v>
      </c>
      <c r="G1668" t="s">
        <v>266</v>
      </c>
    </row>
    <row r="1669" spans="1:7" x14ac:dyDescent="0.3">
      <c r="A1669" s="42">
        <v>45961</v>
      </c>
      <c r="B1669" s="43">
        <v>0.42849537037037039</v>
      </c>
      <c r="C1669" t="s">
        <v>152</v>
      </c>
      <c r="D1669" t="s">
        <v>44</v>
      </c>
      <c r="E1669" t="s">
        <v>265</v>
      </c>
      <c r="F1669">
        <v>-7890</v>
      </c>
      <c r="G1669" t="s">
        <v>266</v>
      </c>
    </row>
    <row r="1670" spans="1:7" x14ac:dyDescent="0.3">
      <c r="A1670" s="42">
        <v>45961</v>
      </c>
      <c r="B1670" s="43">
        <v>0.42296296296296299</v>
      </c>
      <c r="C1670" t="s">
        <v>152</v>
      </c>
      <c r="D1670" t="s">
        <v>36</v>
      </c>
      <c r="E1670" t="s">
        <v>365</v>
      </c>
      <c r="F1670">
        <v>-2500</v>
      </c>
      <c r="G1670" t="s">
        <v>161</v>
      </c>
    </row>
    <row r="1671" spans="1:7" x14ac:dyDescent="0.3">
      <c r="A1671" s="42">
        <v>45961</v>
      </c>
      <c r="B1671" s="43">
        <v>0.42296296296296299</v>
      </c>
      <c r="C1671" t="s">
        <v>152</v>
      </c>
      <c r="D1671" t="s">
        <v>36</v>
      </c>
      <c r="E1671" t="s">
        <v>612</v>
      </c>
      <c r="F1671">
        <v>-4500</v>
      </c>
      <c r="G1671" t="s">
        <v>161</v>
      </c>
    </row>
    <row r="1672" spans="1:7" x14ac:dyDescent="0.3">
      <c r="A1672" s="42">
        <v>45961</v>
      </c>
      <c r="B1672" s="43">
        <v>0.35598379629629628</v>
      </c>
      <c r="C1672" t="s">
        <v>152</v>
      </c>
      <c r="D1672" t="s">
        <v>50</v>
      </c>
      <c r="E1672" t="s">
        <v>184</v>
      </c>
      <c r="F1672">
        <v>-1600</v>
      </c>
      <c r="G1672" t="s">
        <v>266</v>
      </c>
    </row>
    <row r="1673" spans="1:7" x14ac:dyDescent="0.3">
      <c r="A1673" s="42">
        <v>45960</v>
      </c>
      <c r="B1673" s="43">
        <v>0.78216435185185185</v>
      </c>
      <c r="C1673" t="s">
        <v>152</v>
      </c>
      <c r="D1673" t="s">
        <v>36</v>
      </c>
      <c r="E1673" t="s">
        <v>250</v>
      </c>
      <c r="F1673">
        <v>-46300</v>
      </c>
      <c r="G1673" t="s">
        <v>266</v>
      </c>
    </row>
    <row r="1674" spans="1:7" x14ac:dyDescent="0.3">
      <c r="A1674" s="42">
        <v>45960</v>
      </c>
      <c r="B1674" s="43">
        <v>0.74466435185185187</v>
      </c>
      <c r="C1674" t="s">
        <v>152</v>
      </c>
      <c r="D1674" t="s">
        <v>40</v>
      </c>
      <c r="E1674" t="s">
        <v>434</v>
      </c>
      <c r="F1674">
        <v>-3400</v>
      </c>
      <c r="G1674" t="s">
        <v>266</v>
      </c>
    </row>
    <row r="1675" spans="1:7" x14ac:dyDescent="0.3">
      <c r="A1675" s="42">
        <v>45960</v>
      </c>
      <c r="B1675" s="43">
        <v>0.72918981481481482</v>
      </c>
      <c r="C1675" t="s">
        <v>152</v>
      </c>
      <c r="D1675" t="s">
        <v>40</v>
      </c>
      <c r="E1675" t="s">
        <v>434</v>
      </c>
      <c r="F1675">
        <v>-11000</v>
      </c>
      <c r="G1675" t="s">
        <v>266</v>
      </c>
    </row>
    <row r="1676" spans="1:7" x14ac:dyDescent="0.3">
      <c r="A1676" s="42">
        <v>45960</v>
      </c>
      <c r="B1676" s="43">
        <v>0.65874999999999995</v>
      </c>
      <c r="C1676" t="s">
        <v>152</v>
      </c>
      <c r="D1676" t="s">
        <v>50</v>
      </c>
      <c r="E1676" t="s">
        <v>352</v>
      </c>
      <c r="F1676">
        <v>-96600</v>
      </c>
      <c r="G1676" t="s">
        <v>504</v>
      </c>
    </row>
    <row r="1677" spans="1:7" x14ac:dyDescent="0.3">
      <c r="A1677" s="42">
        <v>45960</v>
      </c>
      <c r="B1677" s="43">
        <v>0.65151620370370367</v>
      </c>
      <c r="C1677" t="s">
        <v>152</v>
      </c>
      <c r="D1677" t="s">
        <v>50</v>
      </c>
      <c r="E1677" t="s">
        <v>353</v>
      </c>
      <c r="F1677">
        <v>-143600</v>
      </c>
      <c r="G1677" t="s">
        <v>180</v>
      </c>
    </row>
    <row r="1678" spans="1:7" x14ac:dyDescent="0.3">
      <c r="A1678" s="42">
        <v>45960</v>
      </c>
      <c r="B1678" s="43">
        <v>0.55547453703703709</v>
      </c>
      <c r="C1678" t="s">
        <v>152</v>
      </c>
      <c r="D1678" t="s">
        <v>49</v>
      </c>
      <c r="E1678" t="s">
        <v>288</v>
      </c>
      <c r="F1678">
        <v>-14100</v>
      </c>
      <c r="G1678" t="s">
        <v>180</v>
      </c>
    </row>
    <row r="1679" spans="1:7" x14ac:dyDescent="0.3">
      <c r="A1679" s="42">
        <v>45960</v>
      </c>
      <c r="B1679" s="43">
        <v>0.4853703703703704</v>
      </c>
      <c r="C1679" t="s">
        <v>152</v>
      </c>
      <c r="D1679" t="s">
        <v>42</v>
      </c>
      <c r="E1679" t="s">
        <v>696</v>
      </c>
      <c r="F1679">
        <v>-14000</v>
      </c>
      <c r="G1679" t="s">
        <v>180</v>
      </c>
    </row>
    <row r="1680" spans="1:7" x14ac:dyDescent="0.3">
      <c r="A1680" s="42">
        <v>45960</v>
      </c>
      <c r="B1680" s="43">
        <v>0.48266203703703697</v>
      </c>
      <c r="C1680" t="s">
        <v>152</v>
      </c>
      <c r="D1680" t="s">
        <v>45</v>
      </c>
      <c r="E1680" t="s">
        <v>697</v>
      </c>
      <c r="F1680">
        <v>-688800</v>
      </c>
      <c r="G1680" t="s">
        <v>504</v>
      </c>
    </row>
    <row r="1681" spans="1:7" x14ac:dyDescent="0.3">
      <c r="A1681" s="42">
        <v>45960</v>
      </c>
      <c r="B1681" s="43">
        <v>0.42428240740740741</v>
      </c>
      <c r="C1681" t="s">
        <v>152</v>
      </c>
      <c r="D1681" t="s">
        <v>50</v>
      </c>
      <c r="E1681" t="s">
        <v>325</v>
      </c>
      <c r="F1681">
        <v>-26000</v>
      </c>
      <c r="G1681" t="s">
        <v>182</v>
      </c>
    </row>
    <row r="1682" spans="1:7" x14ac:dyDescent="0.3">
      <c r="A1682" s="42">
        <v>45960</v>
      </c>
      <c r="B1682" s="43">
        <v>0.35071759259259261</v>
      </c>
      <c r="C1682" t="s">
        <v>152</v>
      </c>
      <c r="D1682" t="s">
        <v>44</v>
      </c>
      <c r="E1682" t="s">
        <v>190</v>
      </c>
      <c r="F1682">
        <v>-4370</v>
      </c>
      <c r="G1682" t="s">
        <v>154</v>
      </c>
    </row>
    <row r="1683" spans="1:7" x14ac:dyDescent="0.3">
      <c r="A1683" s="42">
        <v>45960</v>
      </c>
      <c r="B1683" s="43">
        <v>0.31656250000000002</v>
      </c>
      <c r="C1683" t="s">
        <v>152</v>
      </c>
      <c r="D1683" t="s">
        <v>40</v>
      </c>
      <c r="E1683" t="s">
        <v>540</v>
      </c>
      <c r="F1683">
        <v>-6100</v>
      </c>
      <c r="G1683" t="s">
        <v>266</v>
      </c>
    </row>
    <row r="1684" spans="1:7" x14ac:dyDescent="0.3">
      <c r="A1684" s="42">
        <v>45960</v>
      </c>
      <c r="B1684" s="43">
        <v>0.3125</v>
      </c>
      <c r="C1684" t="s">
        <v>155</v>
      </c>
      <c r="D1684" t="s">
        <v>163</v>
      </c>
      <c r="E1684" t="s">
        <v>530</v>
      </c>
      <c r="F1684">
        <v>-1000000</v>
      </c>
      <c r="G1684" t="s">
        <v>66</v>
      </c>
    </row>
    <row r="1685" spans="1:7" x14ac:dyDescent="0.3">
      <c r="A1685" s="42">
        <v>45960</v>
      </c>
      <c r="B1685" s="43">
        <v>0.3125</v>
      </c>
      <c r="C1685" t="s">
        <v>155</v>
      </c>
      <c r="D1685" t="s">
        <v>163</v>
      </c>
      <c r="E1685" t="s">
        <v>7</v>
      </c>
      <c r="F1685">
        <v>1000000</v>
      </c>
      <c r="G1685" t="s">
        <v>61</v>
      </c>
    </row>
    <row r="1686" spans="1:7" x14ac:dyDescent="0.3">
      <c r="A1686" s="42">
        <v>45959</v>
      </c>
      <c r="B1686" s="43">
        <v>0.70549768518518519</v>
      </c>
      <c r="C1686" t="s">
        <v>152</v>
      </c>
      <c r="D1686" t="s">
        <v>50</v>
      </c>
      <c r="E1686" t="s">
        <v>325</v>
      </c>
      <c r="F1686">
        <v>-13000</v>
      </c>
      <c r="G1686" t="s">
        <v>182</v>
      </c>
    </row>
    <row r="1687" spans="1:7" x14ac:dyDescent="0.3">
      <c r="A1687" s="42">
        <v>45959</v>
      </c>
      <c r="B1687" s="43">
        <v>0.6107407407407407</v>
      </c>
      <c r="C1687" t="s">
        <v>152</v>
      </c>
      <c r="D1687" t="s">
        <v>44</v>
      </c>
      <c r="E1687" t="s">
        <v>647</v>
      </c>
      <c r="F1687">
        <v>-300</v>
      </c>
      <c r="G1687" t="s">
        <v>154</v>
      </c>
    </row>
    <row r="1688" spans="1:7" x14ac:dyDescent="0.3">
      <c r="A1688" s="42">
        <v>45959</v>
      </c>
      <c r="B1688" s="43">
        <v>0.3596064814814815</v>
      </c>
      <c r="C1688" t="s">
        <v>152</v>
      </c>
      <c r="D1688" t="s">
        <v>50</v>
      </c>
      <c r="E1688" t="s">
        <v>184</v>
      </c>
      <c r="F1688">
        <v>-1600</v>
      </c>
      <c r="G1688" t="s">
        <v>266</v>
      </c>
    </row>
    <row r="1689" spans="1:7" x14ac:dyDescent="0.3">
      <c r="A1689" s="42">
        <v>45958</v>
      </c>
      <c r="B1689" s="43">
        <v>0.90206018518518516</v>
      </c>
      <c r="C1689" t="s">
        <v>155</v>
      </c>
      <c r="D1689" t="s">
        <v>163</v>
      </c>
      <c r="E1689" t="s">
        <v>530</v>
      </c>
      <c r="F1689">
        <v>-1000000</v>
      </c>
      <c r="G1689" t="s">
        <v>66</v>
      </c>
    </row>
    <row r="1690" spans="1:7" x14ac:dyDescent="0.3">
      <c r="A1690" s="42">
        <v>45958</v>
      </c>
      <c r="B1690" s="43">
        <v>0.90206018518518516</v>
      </c>
      <c r="C1690" t="s">
        <v>155</v>
      </c>
      <c r="D1690" t="s">
        <v>163</v>
      </c>
      <c r="E1690" t="s">
        <v>7</v>
      </c>
      <c r="F1690">
        <v>1000000</v>
      </c>
      <c r="G1690" t="s">
        <v>61</v>
      </c>
    </row>
    <row r="1691" spans="1:7" x14ac:dyDescent="0.3">
      <c r="A1691" s="42">
        <v>45958</v>
      </c>
      <c r="B1691" s="43">
        <v>0.42553240740740739</v>
      </c>
      <c r="C1691" t="s">
        <v>152</v>
      </c>
      <c r="D1691" t="s">
        <v>36</v>
      </c>
      <c r="E1691" t="s">
        <v>243</v>
      </c>
      <c r="F1691">
        <v>-1500</v>
      </c>
      <c r="G1691" t="s">
        <v>161</v>
      </c>
    </row>
    <row r="1692" spans="1:7" x14ac:dyDescent="0.3">
      <c r="A1692" s="42">
        <v>45958</v>
      </c>
      <c r="B1692" s="43">
        <v>0.42553240740740739</v>
      </c>
      <c r="C1692" t="s">
        <v>152</v>
      </c>
      <c r="D1692" t="s">
        <v>36</v>
      </c>
      <c r="E1692" t="s">
        <v>274</v>
      </c>
      <c r="F1692">
        <v>-1750</v>
      </c>
      <c r="G1692" t="s">
        <v>161</v>
      </c>
    </row>
    <row r="1693" spans="1:7" x14ac:dyDescent="0.3">
      <c r="A1693" s="42">
        <v>45957</v>
      </c>
      <c r="B1693" s="43">
        <v>0.86006944444444444</v>
      </c>
      <c r="C1693" t="s">
        <v>152</v>
      </c>
      <c r="D1693" t="s">
        <v>47</v>
      </c>
      <c r="E1693" t="s">
        <v>341</v>
      </c>
      <c r="F1693">
        <v>-50000</v>
      </c>
      <c r="G1693" t="s">
        <v>61</v>
      </c>
    </row>
    <row r="1694" spans="1:7" x14ac:dyDescent="0.3">
      <c r="A1694" s="42">
        <v>45957</v>
      </c>
      <c r="B1694" s="43">
        <v>0.84506944444444443</v>
      </c>
      <c r="C1694" t="s">
        <v>152</v>
      </c>
      <c r="D1694" t="s">
        <v>37</v>
      </c>
      <c r="E1694" t="s">
        <v>698</v>
      </c>
      <c r="F1694">
        <v>-20000</v>
      </c>
      <c r="G1694" t="s">
        <v>61</v>
      </c>
    </row>
    <row r="1695" spans="1:7" x14ac:dyDescent="0.3">
      <c r="A1695" s="42">
        <v>45957</v>
      </c>
      <c r="B1695" s="43">
        <v>0.80885416666666665</v>
      </c>
      <c r="C1695" t="s">
        <v>152</v>
      </c>
      <c r="D1695" t="s">
        <v>37</v>
      </c>
      <c r="E1695" t="s">
        <v>699</v>
      </c>
      <c r="F1695">
        <v>-153079</v>
      </c>
      <c r="G1695" t="s">
        <v>60</v>
      </c>
    </row>
    <row r="1696" spans="1:7" x14ac:dyDescent="0.3">
      <c r="A1696" s="42">
        <v>45957</v>
      </c>
      <c r="B1696" s="43">
        <v>0.8077199074074074</v>
      </c>
      <c r="C1696" t="s">
        <v>152</v>
      </c>
      <c r="D1696" t="s">
        <v>40</v>
      </c>
      <c r="E1696" t="s">
        <v>700</v>
      </c>
      <c r="F1696">
        <v>-258304</v>
      </c>
      <c r="G1696" t="s">
        <v>61</v>
      </c>
    </row>
    <row r="1697" spans="1:7" x14ac:dyDescent="0.3">
      <c r="A1697" s="42">
        <v>45957</v>
      </c>
      <c r="B1697" s="43">
        <v>0.57863425925925926</v>
      </c>
      <c r="C1697" t="s">
        <v>152</v>
      </c>
      <c r="D1697" t="s">
        <v>50</v>
      </c>
      <c r="E1697" t="s">
        <v>184</v>
      </c>
      <c r="F1697">
        <v>-1600</v>
      </c>
      <c r="G1697" t="s">
        <v>266</v>
      </c>
    </row>
    <row r="1698" spans="1:7" x14ac:dyDescent="0.3">
      <c r="A1698" s="42">
        <v>45957</v>
      </c>
      <c r="B1698" s="43">
        <v>0.5105439814814815</v>
      </c>
      <c r="C1698" t="s">
        <v>152</v>
      </c>
      <c r="D1698" t="s">
        <v>42</v>
      </c>
      <c r="E1698" t="s">
        <v>701</v>
      </c>
      <c r="F1698">
        <v>-11800</v>
      </c>
      <c r="G1698" t="s">
        <v>266</v>
      </c>
    </row>
    <row r="1699" spans="1:7" x14ac:dyDescent="0.3">
      <c r="A1699" s="42">
        <v>45957</v>
      </c>
      <c r="B1699" s="43">
        <v>0.49164351851851851</v>
      </c>
      <c r="C1699" t="s">
        <v>155</v>
      </c>
      <c r="D1699" t="s">
        <v>163</v>
      </c>
      <c r="E1699" t="s">
        <v>223</v>
      </c>
      <c r="F1699">
        <v>21</v>
      </c>
      <c r="G1699" t="s">
        <v>68</v>
      </c>
    </row>
    <row r="1700" spans="1:7" x14ac:dyDescent="0.3">
      <c r="A1700" s="42">
        <v>45957</v>
      </c>
      <c r="B1700" s="43">
        <v>0.49164351851851851</v>
      </c>
      <c r="C1700" t="s">
        <v>155</v>
      </c>
      <c r="D1700" t="s">
        <v>163</v>
      </c>
      <c r="E1700" t="s">
        <v>68</v>
      </c>
      <c r="F1700">
        <v>-21</v>
      </c>
      <c r="G1700" t="s">
        <v>67</v>
      </c>
    </row>
    <row r="1701" spans="1:7" x14ac:dyDescent="0.3">
      <c r="A1701" s="42">
        <v>45957</v>
      </c>
      <c r="B1701" s="43">
        <v>0.4296875</v>
      </c>
      <c r="C1701" t="s">
        <v>155</v>
      </c>
      <c r="D1701" t="s">
        <v>155</v>
      </c>
      <c r="E1701" t="s">
        <v>702</v>
      </c>
      <c r="F1701">
        <v>-50000</v>
      </c>
      <c r="G1701" t="s">
        <v>158</v>
      </c>
    </row>
    <row r="1702" spans="1:7" x14ac:dyDescent="0.3">
      <c r="A1702" s="42">
        <v>45957</v>
      </c>
      <c r="B1702" s="43">
        <v>4.2372685185185187E-2</v>
      </c>
      <c r="C1702" t="s">
        <v>152</v>
      </c>
      <c r="D1702" t="s">
        <v>48</v>
      </c>
      <c r="E1702" t="s">
        <v>251</v>
      </c>
      <c r="F1702">
        <v>-300</v>
      </c>
      <c r="G1702" t="s">
        <v>154</v>
      </c>
    </row>
    <row r="1703" spans="1:7" x14ac:dyDescent="0.3">
      <c r="A1703" s="42">
        <v>45956</v>
      </c>
      <c r="B1703" s="43">
        <v>0.41584490740740743</v>
      </c>
      <c r="C1703" t="s">
        <v>152</v>
      </c>
      <c r="D1703" t="s">
        <v>36</v>
      </c>
      <c r="E1703" t="s">
        <v>243</v>
      </c>
      <c r="F1703">
        <v>-1500</v>
      </c>
      <c r="G1703" t="s">
        <v>161</v>
      </c>
    </row>
    <row r="1704" spans="1:7" x14ac:dyDescent="0.3">
      <c r="A1704" s="42">
        <v>45956</v>
      </c>
      <c r="B1704" s="43">
        <v>0.41584490740740743</v>
      </c>
      <c r="C1704" t="s">
        <v>152</v>
      </c>
      <c r="D1704" t="s">
        <v>36</v>
      </c>
      <c r="E1704" t="s">
        <v>244</v>
      </c>
      <c r="F1704">
        <v>-2000</v>
      </c>
      <c r="G1704" t="s">
        <v>161</v>
      </c>
    </row>
    <row r="1705" spans="1:7" x14ac:dyDescent="0.3">
      <c r="A1705" s="42">
        <v>45956</v>
      </c>
      <c r="B1705" s="43">
        <v>0.22524305555555549</v>
      </c>
      <c r="C1705" t="s">
        <v>152</v>
      </c>
      <c r="D1705" t="s">
        <v>37</v>
      </c>
      <c r="E1705" t="s">
        <v>165</v>
      </c>
      <c r="F1705">
        <v>-74372</v>
      </c>
      <c r="G1705" t="s">
        <v>158</v>
      </c>
    </row>
    <row r="1706" spans="1:7" x14ac:dyDescent="0.3">
      <c r="A1706" s="42">
        <v>45955</v>
      </c>
      <c r="B1706" s="43">
        <v>0.84326388888888892</v>
      </c>
      <c r="C1706" t="s">
        <v>155</v>
      </c>
      <c r="D1706" t="s">
        <v>155</v>
      </c>
      <c r="E1706" t="s">
        <v>381</v>
      </c>
      <c r="F1706">
        <v>119000</v>
      </c>
      <c r="G1706" t="s">
        <v>158</v>
      </c>
    </row>
    <row r="1707" spans="1:7" x14ac:dyDescent="0.3">
      <c r="A1707" s="42">
        <v>45955</v>
      </c>
      <c r="B1707" s="43">
        <v>0.83209490740740744</v>
      </c>
      <c r="C1707" t="s">
        <v>152</v>
      </c>
      <c r="D1707" t="s">
        <v>44</v>
      </c>
      <c r="E1707" t="s">
        <v>703</v>
      </c>
      <c r="F1707">
        <v>-119200</v>
      </c>
      <c r="G1707" t="s">
        <v>266</v>
      </c>
    </row>
    <row r="1708" spans="1:7" x14ac:dyDescent="0.3">
      <c r="A1708" s="42">
        <v>45955</v>
      </c>
      <c r="B1708" s="43">
        <v>0.76179398148148147</v>
      </c>
      <c r="C1708" t="s">
        <v>152</v>
      </c>
      <c r="D1708" t="s">
        <v>47</v>
      </c>
      <c r="E1708" t="s">
        <v>704</v>
      </c>
      <c r="F1708">
        <v>-5300</v>
      </c>
      <c r="G1708" t="s">
        <v>266</v>
      </c>
    </row>
    <row r="1709" spans="1:7" x14ac:dyDescent="0.3">
      <c r="A1709" s="42">
        <v>45955</v>
      </c>
      <c r="B1709" s="43">
        <v>0.73591435185185183</v>
      </c>
      <c r="C1709" t="s">
        <v>152</v>
      </c>
      <c r="D1709" t="s">
        <v>42</v>
      </c>
      <c r="E1709" t="s">
        <v>705</v>
      </c>
      <c r="F1709">
        <v>-80000</v>
      </c>
      <c r="G1709" t="s">
        <v>266</v>
      </c>
    </row>
    <row r="1710" spans="1:7" x14ac:dyDescent="0.3">
      <c r="A1710" s="42">
        <v>45955</v>
      </c>
      <c r="B1710" s="43">
        <v>0.61187499999999995</v>
      </c>
      <c r="C1710" t="s">
        <v>152</v>
      </c>
      <c r="D1710" t="s">
        <v>49</v>
      </c>
      <c r="E1710" t="s">
        <v>706</v>
      </c>
      <c r="F1710">
        <v>-6000</v>
      </c>
      <c r="G1710" t="s">
        <v>266</v>
      </c>
    </row>
    <row r="1711" spans="1:7" x14ac:dyDescent="0.3">
      <c r="A1711" s="42">
        <v>45955</v>
      </c>
      <c r="B1711" s="43">
        <v>0.52987268518518515</v>
      </c>
      <c r="C1711" t="s">
        <v>152</v>
      </c>
      <c r="D1711" t="s">
        <v>50</v>
      </c>
      <c r="E1711" t="s">
        <v>707</v>
      </c>
      <c r="F1711">
        <v>-10800</v>
      </c>
      <c r="G1711" t="s">
        <v>266</v>
      </c>
    </row>
    <row r="1712" spans="1:7" x14ac:dyDescent="0.3">
      <c r="A1712" s="42">
        <v>45955</v>
      </c>
      <c r="B1712" s="43">
        <v>0.4841550925925926</v>
      </c>
      <c r="C1712" t="s">
        <v>152</v>
      </c>
      <c r="D1712" t="s">
        <v>50</v>
      </c>
      <c r="E1712" t="s">
        <v>708</v>
      </c>
      <c r="F1712">
        <v>-39600</v>
      </c>
      <c r="G1712" t="s">
        <v>266</v>
      </c>
    </row>
    <row r="1713" spans="1:7" x14ac:dyDescent="0.3">
      <c r="A1713" s="42">
        <v>45955</v>
      </c>
      <c r="B1713" s="43">
        <v>0.46818287037037037</v>
      </c>
      <c r="C1713" t="s">
        <v>152</v>
      </c>
      <c r="D1713" t="s">
        <v>50</v>
      </c>
      <c r="E1713" t="s">
        <v>707</v>
      </c>
      <c r="F1713">
        <v>-22900</v>
      </c>
      <c r="G1713" t="s">
        <v>266</v>
      </c>
    </row>
    <row r="1714" spans="1:7" x14ac:dyDescent="0.3">
      <c r="A1714" s="42">
        <v>45955</v>
      </c>
      <c r="B1714" s="43">
        <v>0.42832175925925919</v>
      </c>
      <c r="C1714" t="s">
        <v>152</v>
      </c>
      <c r="D1714" t="s">
        <v>36</v>
      </c>
      <c r="E1714" t="s">
        <v>243</v>
      </c>
      <c r="F1714">
        <v>-1500</v>
      </c>
      <c r="G1714" t="s">
        <v>161</v>
      </c>
    </row>
    <row r="1715" spans="1:7" x14ac:dyDescent="0.3">
      <c r="A1715" s="42">
        <v>45955</v>
      </c>
      <c r="B1715" s="43">
        <v>0.42832175925925919</v>
      </c>
      <c r="C1715" t="s">
        <v>152</v>
      </c>
      <c r="D1715" t="s">
        <v>36</v>
      </c>
      <c r="E1715" t="s">
        <v>244</v>
      </c>
      <c r="F1715">
        <v>-2000</v>
      </c>
      <c r="G1715" t="s">
        <v>161</v>
      </c>
    </row>
    <row r="1716" spans="1:7" x14ac:dyDescent="0.3">
      <c r="A1716" s="42">
        <v>45955</v>
      </c>
      <c r="B1716" s="43">
        <v>0.37667824074074069</v>
      </c>
      <c r="C1716" t="s">
        <v>152</v>
      </c>
      <c r="D1716" t="s">
        <v>47</v>
      </c>
      <c r="E1716" t="s">
        <v>709</v>
      </c>
      <c r="F1716">
        <v>150000</v>
      </c>
      <c r="G1716" t="s">
        <v>266</v>
      </c>
    </row>
    <row r="1717" spans="1:7" x14ac:dyDescent="0.3">
      <c r="A1717" s="42">
        <v>45955</v>
      </c>
      <c r="B1717" s="43">
        <v>0.37666666666666659</v>
      </c>
      <c r="C1717" t="s">
        <v>152</v>
      </c>
      <c r="D1717" t="s">
        <v>47</v>
      </c>
      <c r="E1717" t="s">
        <v>709</v>
      </c>
      <c r="F1717">
        <v>-69000</v>
      </c>
      <c r="G1717" t="s">
        <v>266</v>
      </c>
    </row>
    <row r="1718" spans="1:7" x14ac:dyDescent="0.3">
      <c r="A1718" s="42">
        <v>45955</v>
      </c>
      <c r="B1718" s="43">
        <v>0.37539351851851849</v>
      </c>
      <c r="C1718" t="s">
        <v>152</v>
      </c>
      <c r="D1718" t="s">
        <v>47</v>
      </c>
      <c r="E1718" t="s">
        <v>709</v>
      </c>
      <c r="F1718">
        <v>-150000</v>
      </c>
      <c r="G1718" t="s">
        <v>266</v>
      </c>
    </row>
    <row r="1719" spans="1:7" x14ac:dyDescent="0.3">
      <c r="A1719" s="42">
        <v>45955</v>
      </c>
      <c r="B1719" s="43">
        <v>0.24156250000000001</v>
      </c>
      <c r="C1719" t="s">
        <v>176</v>
      </c>
      <c r="D1719" t="s">
        <v>28</v>
      </c>
      <c r="E1719" t="s">
        <v>241</v>
      </c>
      <c r="F1719">
        <v>0</v>
      </c>
      <c r="G1719" t="s">
        <v>63</v>
      </c>
    </row>
    <row r="1720" spans="1:7" x14ac:dyDescent="0.3">
      <c r="A1720" s="42">
        <v>45955</v>
      </c>
      <c r="B1720" s="43">
        <v>0.17284722222222221</v>
      </c>
      <c r="C1720" t="s">
        <v>176</v>
      </c>
      <c r="D1720" t="s">
        <v>28</v>
      </c>
      <c r="E1720" t="s">
        <v>240</v>
      </c>
      <c r="F1720">
        <v>21</v>
      </c>
      <c r="G1720" t="s">
        <v>67</v>
      </c>
    </row>
    <row r="1721" spans="1:7" x14ac:dyDescent="0.3">
      <c r="A1721" s="42">
        <v>45955</v>
      </c>
      <c r="B1721" s="43">
        <v>0.16625000000000001</v>
      </c>
      <c r="C1721" t="s">
        <v>176</v>
      </c>
      <c r="D1721" t="s">
        <v>28</v>
      </c>
      <c r="E1721" t="s">
        <v>240</v>
      </c>
      <c r="F1721">
        <v>1370</v>
      </c>
      <c r="G1721" t="s">
        <v>67</v>
      </c>
    </row>
    <row r="1722" spans="1:7" x14ac:dyDescent="0.3">
      <c r="A1722" s="42">
        <v>45955</v>
      </c>
      <c r="B1722" s="43">
        <v>8.8819444444444451E-2</v>
      </c>
      <c r="C1722" t="s">
        <v>176</v>
      </c>
      <c r="D1722" t="s">
        <v>28</v>
      </c>
      <c r="E1722" t="s">
        <v>242</v>
      </c>
      <c r="F1722">
        <v>96</v>
      </c>
      <c r="G1722" t="s">
        <v>68</v>
      </c>
    </row>
    <row r="1723" spans="1:7" x14ac:dyDescent="0.3">
      <c r="A1723" s="42">
        <v>45955</v>
      </c>
      <c r="B1723" s="43">
        <v>4.3159722222222217E-2</v>
      </c>
      <c r="C1723" t="s">
        <v>152</v>
      </c>
      <c r="D1723" t="s">
        <v>36</v>
      </c>
      <c r="E1723" t="s">
        <v>630</v>
      </c>
      <c r="F1723">
        <v>-30100</v>
      </c>
      <c r="G1723" t="s">
        <v>236</v>
      </c>
    </row>
    <row r="1724" spans="1:7" x14ac:dyDescent="0.3">
      <c r="A1724" s="42">
        <v>45955</v>
      </c>
      <c r="B1724" s="43">
        <v>2.1759259259259259E-2</v>
      </c>
      <c r="C1724" t="s">
        <v>152</v>
      </c>
      <c r="D1724" t="s">
        <v>36</v>
      </c>
      <c r="E1724" t="s">
        <v>630</v>
      </c>
      <c r="F1724">
        <v>-29700</v>
      </c>
      <c r="G1724" t="s">
        <v>236</v>
      </c>
    </row>
    <row r="1725" spans="1:7" x14ac:dyDescent="0.3">
      <c r="A1725" s="42">
        <v>45955</v>
      </c>
      <c r="B1725" s="43">
        <v>2.1759259259259259E-2</v>
      </c>
      <c r="C1725" t="s">
        <v>152</v>
      </c>
      <c r="D1725" t="s">
        <v>36</v>
      </c>
      <c r="E1725" t="s">
        <v>630</v>
      </c>
      <c r="F1725">
        <v>29700</v>
      </c>
      <c r="G1725" t="s">
        <v>236</v>
      </c>
    </row>
    <row r="1726" spans="1:7" x14ac:dyDescent="0.3">
      <c r="A1726" s="42">
        <v>45955</v>
      </c>
      <c r="B1726" s="43">
        <v>2.0937500000000001E-2</v>
      </c>
      <c r="C1726" t="s">
        <v>152</v>
      </c>
      <c r="D1726" t="s">
        <v>36</v>
      </c>
      <c r="E1726" t="s">
        <v>630</v>
      </c>
      <c r="F1726">
        <v>-29700</v>
      </c>
      <c r="G1726" t="s">
        <v>236</v>
      </c>
    </row>
    <row r="1727" spans="1:7" x14ac:dyDescent="0.3">
      <c r="A1727" s="42">
        <v>45955</v>
      </c>
      <c r="B1727" s="43">
        <v>2.0937500000000001E-2</v>
      </c>
      <c r="C1727" t="s">
        <v>152</v>
      </c>
      <c r="D1727" t="s">
        <v>36</v>
      </c>
      <c r="E1727" t="s">
        <v>630</v>
      </c>
      <c r="F1727">
        <v>29700</v>
      </c>
      <c r="G1727" t="s">
        <v>236</v>
      </c>
    </row>
    <row r="1728" spans="1:7" x14ac:dyDescent="0.3">
      <c r="A1728" s="42">
        <v>45954</v>
      </c>
      <c r="B1728" s="43">
        <v>0.79679398148148151</v>
      </c>
      <c r="C1728" t="s">
        <v>152</v>
      </c>
      <c r="D1728" t="s">
        <v>49</v>
      </c>
      <c r="E1728" t="s">
        <v>710</v>
      </c>
      <c r="F1728">
        <v>-44000</v>
      </c>
      <c r="G1728" t="s">
        <v>266</v>
      </c>
    </row>
    <row r="1729" spans="1:7" x14ac:dyDescent="0.3">
      <c r="A1729" s="42">
        <v>45954</v>
      </c>
      <c r="B1729" s="43">
        <v>0.66016203703703702</v>
      </c>
      <c r="C1729" t="s">
        <v>152</v>
      </c>
      <c r="D1729" t="s">
        <v>44</v>
      </c>
      <c r="E1729" t="s">
        <v>190</v>
      </c>
      <c r="F1729">
        <v>-33700</v>
      </c>
      <c r="G1729" t="s">
        <v>154</v>
      </c>
    </row>
    <row r="1730" spans="1:7" x14ac:dyDescent="0.3">
      <c r="A1730" s="42">
        <v>45954</v>
      </c>
      <c r="B1730" s="43">
        <v>0.43083333333333329</v>
      </c>
      <c r="C1730" t="s">
        <v>152</v>
      </c>
      <c r="D1730" t="s">
        <v>36</v>
      </c>
      <c r="E1730" t="s">
        <v>244</v>
      </c>
      <c r="F1730">
        <v>-400</v>
      </c>
      <c r="G1730" t="s">
        <v>161</v>
      </c>
    </row>
    <row r="1731" spans="1:7" x14ac:dyDescent="0.3">
      <c r="A1731" s="42">
        <v>45954</v>
      </c>
      <c r="B1731" s="43">
        <v>0.43082175925925931</v>
      </c>
      <c r="C1731" t="s">
        <v>152</v>
      </c>
      <c r="D1731" t="s">
        <v>36</v>
      </c>
      <c r="E1731" t="s">
        <v>226</v>
      </c>
      <c r="F1731">
        <v>-3000</v>
      </c>
      <c r="G1731" t="s">
        <v>161</v>
      </c>
    </row>
    <row r="1732" spans="1:7" x14ac:dyDescent="0.3">
      <c r="A1732" s="42">
        <v>45954</v>
      </c>
      <c r="B1732" s="43">
        <v>0.34126157407407409</v>
      </c>
      <c r="C1732" t="s">
        <v>152</v>
      </c>
      <c r="D1732" t="s">
        <v>49</v>
      </c>
      <c r="E1732" t="s">
        <v>368</v>
      </c>
      <c r="F1732">
        <v>-300</v>
      </c>
      <c r="G1732" t="s">
        <v>266</v>
      </c>
    </row>
    <row r="1733" spans="1:7" x14ac:dyDescent="0.3">
      <c r="A1733" s="42">
        <v>45954</v>
      </c>
      <c r="B1733" s="43">
        <v>5.5995370370370369E-2</v>
      </c>
      <c r="C1733" t="s">
        <v>176</v>
      </c>
      <c r="D1733" t="s">
        <v>29</v>
      </c>
      <c r="E1733" t="s">
        <v>509</v>
      </c>
      <c r="F1733">
        <v>500000</v>
      </c>
      <c r="G1733" t="s">
        <v>64</v>
      </c>
    </row>
    <row r="1734" spans="1:7" x14ac:dyDescent="0.3">
      <c r="A1734" s="42">
        <v>45954</v>
      </c>
      <c r="B1734" s="43">
        <v>5.0289351851851849E-2</v>
      </c>
      <c r="C1734" t="s">
        <v>155</v>
      </c>
      <c r="D1734" t="s">
        <v>217</v>
      </c>
      <c r="E1734" t="s">
        <v>603</v>
      </c>
      <c r="F1734">
        <v>100000</v>
      </c>
      <c r="G1734" t="s">
        <v>64</v>
      </c>
    </row>
    <row r="1735" spans="1:7" x14ac:dyDescent="0.3">
      <c r="A1735" s="42">
        <v>45953</v>
      </c>
      <c r="B1735" s="43">
        <v>0.82788194444444441</v>
      </c>
      <c r="C1735" t="s">
        <v>152</v>
      </c>
      <c r="D1735" t="s">
        <v>37</v>
      </c>
      <c r="E1735" t="s">
        <v>711</v>
      </c>
      <c r="F1735">
        <v>-16900</v>
      </c>
      <c r="G1735" t="s">
        <v>60</v>
      </c>
    </row>
    <row r="1736" spans="1:7" x14ac:dyDescent="0.3">
      <c r="A1736" s="42">
        <v>45953</v>
      </c>
      <c r="B1736" s="43">
        <v>0.81693287037037032</v>
      </c>
      <c r="C1736" t="s">
        <v>152</v>
      </c>
      <c r="D1736" t="s">
        <v>37</v>
      </c>
      <c r="E1736" t="s">
        <v>712</v>
      </c>
      <c r="F1736">
        <v>-12555</v>
      </c>
      <c r="G1736" t="s">
        <v>61</v>
      </c>
    </row>
    <row r="1737" spans="1:7" x14ac:dyDescent="0.3">
      <c r="A1737" s="42">
        <v>45953</v>
      </c>
      <c r="B1737" s="43">
        <v>0.76003472222222224</v>
      </c>
      <c r="C1737" t="s">
        <v>152</v>
      </c>
      <c r="D1737" t="s">
        <v>37</v>
      </c>
      <c r="E1737" t="s">
        <v>256</v>
      </c>
      <c r="F1737">
        <v>-697117</v>
      </c>
      <c r="G1737" t="s">
        <v>67</v>
      </c>
    </row>
    <row r="1738" spans="1:7" x14ac:dyDescent="0.3">
      <c r="A1738" s="42">
        <v>45953</v>
      </c>
      <c r="B1738" s="43">
        <v>0.63990740740740737</v>
      </c>
      <c r="C1738" t="s">
        <v>152</v>
      </c>
      <c r="D1738" t="s">
        <v>45</v>
      </c>
      <c r="E1738" t="s">
        <v>713</v>
      </c>
      <c r="F1738">
        <v>-35000</v>
      </c>
      <c r="G1738" t="s">
        <v>266</v>
      </c>
    </row>
    <row r="1739" spans="1:7" x14ac:dyDescent="0.3">
      <c r="A1739" s="42">
        <v>45953</v>
      </c>
      <c r="B1739" s="43">
        <v>0.47288194444444442</v>
      </c>
      <c r="C1739" t="s">
        <v>155</v>
      </c>
      <c r="D1739" t="s">
        <v>163</v>
      </c>
      <c r="E1739" t="s">
        <v>223</v>
      </c>
      <c r="F1739">
        <v>960</v>
      </c>
      <c r="G1739" t="s">
        <v>68</v>
      </c>
    </row>
    <row r="1740" spans="1:7" x14ac:dyDescent="0.3">
      <c r="A1740" s="42">
        <v>45953</v>
      </c>
      <c r="B1740" s="43">
        <v>0.47288194444444442</v>
      </c>
      <c r="C1740" t="s">
        <v>155</v>
      </c>
      <c r="D1740" t="s">
        <v>163</v>
      </c>
      <c r="E1740" t="s">
        <v>68</v>
      </c>
      <c r="F1740">
        <v>-960</v>
      </c>
      <c r="G1740" t="s">
        <v>67</v>
      </c>
    </row>
    <row r="1741" spans="1:7" x14ac:dyDescent="0.3">
      <c r="A1741" s="42">
        <v>45953</v>
      </c>
      <c r="B1741" s="43">
        <v>0.43252314814814807</v>
      </c>
      <c r="C1741" t="s">
        <v>152</v>
      </c>
      <c r="D1741" t="s">
        <v>36</v>
      </c>
      <c r="E1741" t="s">
        <v>243</v>
      </c>
      <c r="F1741">
        <v>-1500</v>
      </c>
      <c r="G1741" t="s">
        <v>161</v>
      </c>
    </row>
    <row r="1742" spans="1:7" x14ac:dyDescent="0.3">
      <c r="A1742" s="42">
        <v>45953</v>
      </c>
      <c r="B1742" s="43">
        <v>0.43252314814814807</v>
      </c>
      <c r="C1742" t="s">
        <v>152</v>
      </c>
      <c r="D1742" t="s">
        <v>36</v>
      </c>
      <c r="E1742" t="s">
        <v>244</v>
      </c>
      <c r="F1742">
        <v>-2000</v>
      </c>
      <c r="G1742" t="s">
        <v>161</v>
      </c>
    </row>
    <row r="1743" spans="1:7" x14ac:dyDescent="0.3">
      <c r="A1743" s="42">
        <v>45953</v>
      </c>
      <c r="B1743" s="43">
        <v>0.32748842592592592</v>
      </c>
      <c r="C1743" t="s">
        <v>152</v>
      </c>
      <c r="D1743" t="s">
        <v>40</v>
      </c>
      <c r="E1743" t="s">
        <v>592</v>
      </c>
      <c r="F1743">
        <v>-23800</v>
      </c>
      <c r="G1743" t="s">
        <v>199</v>
      </c>
    </row>
    <row r="1744" spans="1:7" x14ac:dyDescent="0.3">
      <c r="A1744" s="42">
        <v>45953</v>
      </c>
      <c r="B1744" s="43">
        <v>0.31380787037037039</v>
      </c>
      <c r="C1744" t="s">
        <v>152</v>
      </c>
      <c r="D1744" t="s">
        <v>44</v>
      </c>
      <c r="E1744" t="s">
        <v>657</v>
      </c>
      <c r="F1744">
        <v>-4920</v>
      </c>
      <c r="G1744" t="s">
        <v>199</v>
      </c>
    </row>
    <row r="1745" spans="1:7" x14ac:dyDescent="0.3">
      <c r="A1745" s="42">
        <v>45952</v>
      </c>
      <c r="B1745" s="43">
        <v>0.64304398148148145</v>
      </c>
      <c r="C1745" t="s">
        <v>152</v>
      </c>
      <c r="D1745" t="s">
        <v>36</v>
      </c>
      <c r="E1745" t="s">
        <v>250</v>
      </c>
      <c r="F1745">
        <v>-45800</v>
      </c>
      <c r="G1745" t="s">
        <v>180</v>
      </c>
    </row>
    <row r="1746" spans="1:7" x14ac:dyDescent="0.3">
      <c r="A1746" s="42">
        <v>45952</v>
      </c>
      <c r="B1746" s="43">
        <v>0.50745370370370368</v>
      </c>
      <c r="C1746" t="s">
        <v>152</v>
      </c>
      <c r="D1746" t="s">
        <v>49</v>
      </c>
      <c r="E1746" t="s">
        <v>432</v>
      </c>
      <c r="F1746">
        <v>-10500</v>
      </c>
      <c r="G1746" t="s">
        <v>266</v>
      </c>
    </row>
    <row r="1747" spans="1:7" x14ac:dyDescent="0.3">
      <c r="A1747" s="42">
        <v>45952</v>
      </c>
      <c r="B1747" s="43">
        <v>0.39689814814814822</v>
      </c>
      <c r="C1747" t="s">
        <v>152</v>
      </c>
      <c r="D1747" t="s">
        <v>37</v>
      </c>
      <c r="E1747" t="s">
        <v>366</v>
      </c>
      <c r="F1747">
        <v>-21904</v>
      </c>
      <c r="G1747" t="s">
        <v>67</v>
      </c>
    </row>
    <row r="1748" spans="1:7" x14ac:dyDescent="0.3">
      <c r="A1748" s="42">
        <v>45952</v>
      </c>
      <c r="B1748" s="43">
        <v>0.39634259259259258</v>
      </c>
      <c r="C1748" t="s">
        <v>155</v>
      </c>
      <c r="D1748" t="s">
        <v>163</v>
      </c>
      <c r="E1748" t="s">
        <v>7</v>
      </c>
      <c r="F1748">
        <v>-1000000</v>
      </c>
      <c r="G1748" t="s">
        <v>67</v>
      </c>
    </row>
    <row r="1749" spans="1:7" x14ac:dyDescent="0.3">
      <c r="A1749" s="42">
        <v>45952</v>
      </c>
      <c r="B1749" s="43">
        <v>0.39634259259259258</v>
      </c>
      <c r="C1749" t="s">
        <v>155</v>
      </c>
      <c r="D1749" t="s">
        <v>163</v>
      </c>
      <c r="E1749" t="s">
        <v>7</v>
      </c>
      <c r="F1749">
        <v>1000000</v>
      </c>
      <c r="G1749" t="s">
        <v>67</v>
      </c>
    </row>
    <row r="1750" spans="1:7" x14ac:dyDescent="0.3">
      <c r="A1750" s="42">
        <v>45952</v>
      </c>
      <c r="B1750" s="43">
        <v>0.35824074074074069</v>
      </c>
      <c r="C1750" t="s">
        <v>152</v>
      </c>
      <c r="D1750" t="s">
        <v>37</v>
      </c>
      <c r="E1750" t="s">
        <v>366</v>
      </c>
      <c r="F1750">
        <v>-197136</v>
      </c>
      <c r="G1750" t="s">
        <v>67</v>
      </c>
    </row>
    <row r="1751" spans="1:7" x14ac:dyDescent="0.3">
      <c r="A1751" s="42">
        <v>45951</v>
      </c>
      <c r="B1751" s="43">
        <v>0.95122685185185185</v>
      </c>
      <c r="C1751" t="s">
        <v>155</v>
      </c>
      <c r="D1751" t="s">
        <v>163</v>
      </c>
      <c r="E1751" t="s">
        <v>7</v>
      </c>
      <c r="F1751">
        <v>5000000</v>
      </c>
      <c r="G1751" t="s">
        <v>67</v>
      </c>
    </row>
    <row r="1752" spans="1:7" x14ac:dyDescent="0.3">
      <c r="A1752" s="42">
        <v>45951</v>
      </c>
      <c r="B1752" s="43">
        <v>0.95122685185185185</v>
      </c>
      <c r="C1752" t="s">
        <v>155</v>
      </c>
      <c r="D1752" t="s">
        <v>163</v>
      </c>
      <c r="E1752" t="s">
        <v>7</v>
      </c>
      <c r="F1752">
        <v>-5000000</v>
      </c>
      <c r="G1752" t="s">
        <v>60</v>
      </c>
    </row>
    <row r="1753" spans="1:7" x14ac:dyDescent="0.3">
      <c r="A1753" s="42">
        <v>45951</v>
      </c>
      <c r="B1753" s="43">
        <v>0.9506134259259259</v>
      </c>
      <c r="C1753" t="s">
        <v>155</v>
      </c>
      <c r="D1753" t="s">
        <v>163</v>
      </c>
      <c r="E1753" t="s">
        <v>7</v>
      </c>
      <c r="F1753">
        <v>-2000000</v>
      </c>
      <c r="G1753" t="s">
        <v>60</v>
      </c>
    </row>
    <row r="1754" spans="1:7" x14ac:dyDescent="0.3">
      <c r="A1754" s="42">
        <v>45951</v>
      </c>
      <c r="B1754" s="43">
        <v>0.9506134259259259</v>
      </c>
      <c r="C1754" t="s">
        <v>155</v>
      </c>
      <c r="D1754" t="s">
        <v>163</v>
      </c>
      <c r="E1754" t="s">
        <v>7</v>
      </c>
      <c r="F1754">
        <v>2000000</v>
      </c>
      <c r="G1754" t="s">
        <v>61</v>
      </c>
    </row>
    <row r="1755" spans="1:7" x14ac:dyDescent="0.3">
      <c r="A1755" s="42">
        <v>45951</v>
      </c>
      <c r="B1755" s="43">
        <v>0.55393518518518514</v>
      </c>
      <c r="C1755" t="s">
        <v>155</v>
      </c>
      <c r="D1755" t="s">
        <v>155</v>
      </c>
      <c r="E1755" t="s">
        <v>714</v>
      </c>
      <c r="F1755">
        <v>-5950</v>
      </c>
      <c r="G1755" t="s">
        <v>158</v>
      </c>
    </row>
    <row r="1756" spans="1:7" x14ac:dyDescent="0.3">
      <c r="A1756" s="42">
        <v>45951</v>
      </c>
      <c r="B1756" s="43">
        <v>0.50054398148148149</v>
      </c>
      <c r="C1756" t="s">
        <v>152</v>
      </c>
      <c r="D1756" t="s">
        <v>38</v>
      </c>
      <c r="E1756" t="s">
        <v>715</v>
      </c>
      <c r="F1756">
        <v>17500</v>
      </c>
      <c r="G1756" t="s">
        <v>236</v>
      </c>
    </row>
    <row r="1757" spans="1:7" x14ac:dyDescent="0.3">
      <c r="A1757" s="42">
        <v>45951</v>
      </c>
      <c r="B1757" s="43">
        <v>0.43409722222222219</v>
      </c>
      <c r="C1757" t="s">
        <v>152</v>
      </c>
      <c r="D1757" t="s">
        <v>44</v>
      </c>
      <c r="E1757" t="s">
        <v>190</v>
      </c>
      <c r="F1757">
        <v>-16180</v>
      </c>
      <c r="G1757" t="s">
        <v>154</v>
      </c>
    </row>
    <row r="1758" spans="1:7" x14ac:dyDescent="0.3">
      <c r="A1758" s="42">
        <v>45951</v>
      </c>
      <c r="B1758" s="43">
        <v>0.41487268518518522</v>
      </c>
      <c r="C1758" t="s">
        <v>152</v>
      </c>
      <c r="D1758" t="s">
        <v>36</v>
      </c>
      <c r="E1758" t="s">
        <v>243</v>
      </c>
      <c r="F1758">
        <v>-1500</v>
      </c>
      <c r="G1758" t="s">
        <v>161</v>
      </c>
    </row>
    <row r="1759" spans="1:7" x14ac:dyDescent="0.3">
      <c r="A1759" s="42">
        <v>45951</v>
      </c>
      <c r="B1759" s="43">
        <v>0.41487268518518522</v>
      </c>
      <c r="C1759" t="s">
        <v>152</v>
      </c>
      <c r="D1759" t="s">
        <v>36</v>
      </c>
      <c r="E1759" t="s">
        <v>460</v>
      </c>
      <c r="F1759">
        <v>-5100</v>
      </c>
      <c r="G1759" t="s">
        <v>161</v>
      </c>
    </row>
    <row r="1760" spans="1:7" x14ac:dyDescent="0.3">
      <c r="A1760" s="42">
        <v>45951</v>
      </c>
      <c r="B1760" s="43">
        <v>0.37656250000000002</v>
      </c>
      <c r="C1760" t="s">
        <v>155</v>
      </c>
      <c r="D1760" t="s">
        <v>155</v>
      </c>
      <c r="E1760" t="s">
        <v>716</v>
      </c>
      <c r="F1760">
        <v>20034083</v>
      </c>
      <c r="G1760" t="s">
        <v>66</v>
      </c>
    </row>
    <row r="1761" spans="1:7" x14ac:dyDescent="0.3">
      <c r="A1761" s="42">
        <v>45951</v>
      </c>
      <c r="B1761" s="43">
        <v>0.33413194444444438</v>
      </c>
      <c r="C1761" t="s">
        <v>176</v>
      </c>
      <c r="D1761" t="s">
        <v>29</v>
      </c>
      <c r="E1761" t="s">
        <v>29</v>
      </c>
      <c r="F1761">
        <v>4630720</v>
      </c>
      <c r="G1761" t="s">
        <v>60</v>
      </c>
    </row>
    <row r="1762" spans="1:7" x14ac:dyDescent="0.3">
      <c r="A1762" s="42">
        <v>45950</v>
      </c>
      <c r="B1762" s="43">
        <v>0.8972106481481481</v>
      </c>
      <c r="C1762" t="s">
        <v>152</v>
      </c>
      <c r="D1762" t="s">
        <v>40</v>
      </c>
      <c r="E1762" t="s">
        <v>393</v>
      </c>
      <c r="F1762">
        <v>-5900</v>
      </c>
      <c r="G1762" t="s">
        <v>266</v>
      </c>
    </row>
    <row r="1763" spans="1:7" x14ac:dyDescent="0.3">
      <c r="A1763" s="42">
        <v>45950</v>
      </c>
      <c r="B1763" s="43">
        <v>0.62231481481481477</v>
      </c>
      <c r="C1763" t="s">
        <v>152</v>
      </c>
      <c r="D1763" t="s">
        <v>40</v>
      </c>
      <c r="E1763" t="s">
        <v>717</v>
      </c>
      <c r="F1763">
        <v>-2500</v>
      </c>
      <c r="G1763" t="s">
        <v>199</v>
      </c>
    </row>
    <row r="1764" spans="1:7" x14ac:dyDescent="0.3">
      <c r="A1764" s="42">
        <v>45949</v>
      </c>
      <c r="B1764" s="43">
        <v>0.86756944444444439</v>
      </c>
      <c r="C1764" t="s">
        <v>152</v>
      </c>
      <c r="D1764" t="s">
        <v>38</v>
      </c>
      <c r="E1764" t="s">
        <v>715</v>
      </c>
      <c r="F1764">
        <v>-17500</v>
      </c>
      <c r="G1764" t="s">
        <v>236</v>
      </c>
    </row>
    <row r="1765" spans="1:7" x14ac:dyDescent="0.3">
      <c r="A1765" s="42">
        <v>45949</v>
      </c>
      <c r="B1765" s="43">
        <v>0.86743055555555559</v>
      </c>
      <c r="C1765" t="s">
        <v>155</v>
      </c>
      <c r="D1765" t="s">
        <v>155</v>
      </c>
      <c r="E1765" t="s">
        <v>166</v>
      </c>
      <c r="F1765">
        <v>-17500</v>
      </c>
      <c r="G1765" t="s">
        <v>61</v>
      </c>
    </row>
    <row r="1766" spans="1:7" x14ac:dyDescent="0.3">
      <c r="A1766" s="42">
        <v>45949</v>
      </c>
      <c r="B1766" s="43">
        <v>0.75714120370370375</v>
      </c>
      <c r="C1766" t="s">
        <v>152</v>
      </c>
      <c r="D1766" t="s">
        <v>42</v>
      </c>
      <c r="E1766" t="s">
        <v>718</v>
      </c>
      <c r="F1766">
        <v>-10000</v>
      </c>
      <c r="G1766" t="s">
        <v>266</v>
      </c>
    </row>
    <row r="1767" spans="1:7" x14ac:dyDescent="0.3">
      <c r="A1767" s="42">
        <v>45949</v>
      </c>
      <c r="B1767" s="43">
        <v>0.6224884259259259</v>
      </c>
      <c r="C1767" t="s">
        <v>152</v>
      </c>
      <c r="D1767" t="s">
        <v>49</v>
      </c>
      <c r="E1767" t="s">
        <v>719</v>
      </c>
      <c r="F1767">
        <v>-2000</v>
      </c>
      <c r="G1767" t="s">
        <v>266</v>
      </c>
    </row>
    <row r="1768" spans="1:7" x14ac:dyDescent="0.3">
      <c r="A1768" s="42">
        <v>45949</v>
      </c>
      <c r="B1768" s="43">
        <v>0.61900462962962965</v>
      </c>
      <c r="C1768" t="s">
        <v>152</v>
      </c>
      <c r="D1768" t="s">
        <v>39</v>
      </c>
      <c r="E1768" t="s">
        <v>391</v>
      </c>
      <c r="F1768">
        <v>-18000</v>
      </c>
      <c r="G1768" t="s">
        <v>266</v>
      </c>
    </row>
    <row r="1769" spans="1:7" x14ac:dyDescent="0.3">
      <c r="A1769" s="42">
        <v>45949</v>
      </c>
      <c r="B1769" s="43">
        <v>0.41410879629629632</v>
      </c>
      <c r="C1769" t="s">
        <v>152</v>
      </c>
      <c r="D1769" t="s">
        <v>36</v>
      </c>
      <c r="E1769" t="s">
        <v>226</v>
      </c>
      <c r="F1769">
        <v>-1600</v>
      </c>
      <c r="G1769" t="s">
        <v>161</v>
      </c>
    </row>
    <row r="1770" spans="1:7" x14ac:dyDescent="0.3">
      <c r="A1770" s="42">
        <v>45949</v>
      </c>
      <c r="B1770" s="43">
        <v>0.41410879629629632</v>
      </c>
      <c r="C1770" t="s">
        <v>152</v>
      </c>
      <c r="D1770" t="s">
        <v>36</v>
      </c>
      <c r="E1770" t="s">
        <v>244</v>
      </c>
      <c r="F1770">
        <v>-1900</v>
      </c>
      <c r="G1770" t="s">
        <v>161</v>
      </c>
    </row>
    <row r="1771" spans="1:7" x14ac:dyDescent="0.3">
      <c r="A1771" s="42">
        <v>45948</v>
      </c>
      <c r="B1771" s="43">
        <v>0.71486111111111106</v>
      </c>
      <c r="C1771" t="s">
        <v>152</v>
      </c>
      <c r="D1771" t="s">
        <v>50</v>
      </c>
      <c r="E1771" t="s">
        <v>667</v>
      </c>
      <c r="F1771">
        <v>-52990</v>
      </c>
      <c r="G1771" t="s">
        <v>266</v>
      </c>
    </row>
    <row r="1772" spans="1:7" x14ac:dyDescent="0.3">
      <c r="A1772" s="42">
        <v>45948</v>
      </c>
      <c r="B1772" s="43">
        <v>0.41896990740740742</v>
      </c>
      <c r="C1772" t="s">
        <v>152</v>
      </c>
      <c r="D1772" t="s">
        <v>36</v>
      </c>
      <c r="E1772" t="s">
        <v>244</v>
      </c>
      <c r="F1772">
        <v>-500</v>
      </c>
      <c r="G1772" t="s">
        <v>161</v>
      </c>
    </row>
    <row r="1773" spans="1:7" x14ac:dyDescent="0.3">
      <c r="A1773" s="42">
        <v>45948</v>
      </c>
      <c r="B1773" s="43">
        <v>0.41896990740740742</v>
      </c>
      <c r="C1773" t="s">
        <v>152</v>
      </c>
      <c r="D1773" t="s">
        <v>36</v>
      </c>
      <c r="E1773" t="s">
        <v>226</v>
      </c>
      <c r="F1773">
        <v>-3000</v>
      </c>
      <c r="G1773" t="s">
        <v>161</v>
      </c>
    </row>
    <row r="1774" spans="1:7" x14ac:dyDescent="0.3">
      <c r="A1774" s="42">
        <v>45948</v>
      </c>
      <c r="B1774" s="43">
        <v>0.40668981481481481</v>
      </c>
      <c r="C1774" t="s">
        <v>152</v>
      </c>
      <c r="D1774" t="s">
        <v>49</v>
      </c>
      <c r="E1774" t="s">
        <v>695</v>
      </c>
      <c r="F1774">
        <v>-1200</v>
      </c>
      <c r="G1774" t="s">
        <v>154</v>
      </c>
    </row>
    <row r="1775" spans="1:7" x14ac:dyDescent="0.3">
      <c r="A1775" s="42">
        <v>45947</v>
      </c>
      <c r="B1775" s="43">
        <v>0.82310185185185181</v>
      </c>
      <c r="C1775" t="s">
        <v>155</v>
      </c>
      <c r="D1775" t="s">
        <v>155</v>
      </c>
      <c r="E1775" t="s">
        <v>166</v>
      </c>
      <c r="F1775">
        <v>-250000</v>
      </c>
      <c r="G1775" t="s">
        <v>61</v>
      </c>
    </row>
    <row r="1776" spans="1:7" x14ac:dyDescent="0.3">
      <c r="A1776" s="42">
        <v>45947</v>
      </c>
      <c r="B1776" s="43">
        <v>0.77508101851851852</v>
      </c>
      <c r="C1776" t="s">
        <v>155</v>
      </c>
      <c r="D1776" t="s">
        <v>163</v>
      </c>
      <c r="E1776" t="s">
        <v>7</v>
      </c>
      <c r="F1776">
        <v>-1000000</v>
      </c>
      <c r="G1776" t="s">
        <v>60</v>
      </c>
    </row>
    <row r="1777" spans="1:7" x14ac:dyDescent="0.3">
      <c r="A1777" s="42">
        <v>45947</v>
      </c>
      <c r="B1777" s="43">
        <v>0.60803240740740738</v>
      </c>
      <c r="C1777" t="s">
        <v>176</v>
      </c>
      <c r="D1777" t="s">
        <v>28</v>
      </c>
      <c r="E1777" t="s">
        <v>178</v>
      </c>
      <c r="F1777">
        <v>19980</v>
      </c>
      <c r="G1777" t="s">
        <v>61</v>
      </c>
    </row>
    <row r="1778" spans="1:7" x14ac:dyDescent="0.3">
      <c r="A1778" s="42">
        <v>45947</v>
      </c>
      <c r="B1778" s="43">
        <v>0.55039351851851848</v>
      </c>
      <c r="C1778" t="s">
        <v>152</v>
      </c>
      <c r="D1778" t="s">
        <v>40</v>
      </c>
      <c r="E1778" t="s">
        <v>720</v>
      </c>
      <c r="F1778">
        <v>-2200</v>
      </c>
      <c r="G1778" t="s">
        <v>154</v>
      </c>
    </row>
    <row r="1779" spans="1:7" x14ac:dyDescent="0.3">
      <c r="A1779" s="42">
        <v>45947</v>
      </c>
      <c r="B1779" s="43">
        <v>0.43163194444444453</v>
      </c>
      <c r="C1779" t="s">
        <v>152</v>
      </c>
      <c r="D1779" t="s">
        <v>36</v>
      </c>
      <c r="E1779" t="s">
        <v>244</v>
      </c>
      <c r="F1779">
        <v>-500</v>
      </c>
      <c r="G1779" t="s">
        <v>161</v>
      </c>
    </row>
    <row r="1780" spans="1:7" x14ac:dyDescent="0.3">
      <c r="A1780" s="42">
        <v>45947</v>
      </c>
      <c r="B1780" s="43">
        <v>0.43163194444444453</v>
      </c>
      <c r="C1780" t="s">
        <v>152</v>
      </c>
      <c r="D1780" t="s">
        <v>36</v>
      </c>
      <c r="E1780" t="s">
        <v>226</v>
      </c>
      <c r="F1780">
        <v>-3000</v>
      </c>
      <c r="G1780" t="s">
        <v>161</v>
      </c>
    </row>
    <row r="1781" spans="1:7" x14ac:dyDescent="0.3">
      <c r="A1781" s="42">
        <v>45946</v>
      </c>
      <c r="B1781" s="43">
        <v>0.87174768518518519</v>
      </c>
      <c r="C1781" t="s">
        <v>152</v>
      </c>
      <c r="D1781" t="s">
        <v>44</v>
      </c>
      <c r="E1781" t="s">
        <v>190</v>
      </c>
      <c r="F1781">
        <v>-20880</v>
      </c>
      <c r="G1781" t="s">
        <v>154</v>
      </c>
    </row>
    <row r="1782" spans="1:7" x14ac:dyDescent="0.3">
      <c r="A1782" s="42">
        <v>45946</v>
      </c>
      <c r="B1782" s="43">
        <v>0.42068287037037039</v>
      </c>
      <c r="C1782" t="s">
        <v>152</v>
      </c>
      <c r="D1782" t="s">
        <v>36</v>
      </c>
      <c r="E1782" t="s">
        <v>243</v>
      </c>
      <c r="F1782">
        <v>-1500</v>
      </c>
      <c r="G1782" t="s">
        <v>161</v>
      </c>
    </row>
    <row r="1783" spans="1:7" x14ac:dyDescent="0.3">
      <c r="A1783" s="42">
        <v>45946</v>
      </c>
      <c r="B1783" s="43">
        <v>0.42068287037037039</v>
      </c>
      <c r="C1783" t="s">
        <v>152</v>
      </c>
      <c r="D1783" t="s">
        <v>36</v>
      </c>
      <c r="E1783" t="s">
        <v>244</v>
      </c>
      <c r="F1783">
        <v>-2000</v>
      </c>
      <c r="G1783" t="s">
        <v>161</v>
      </c>
    </row>
    <row r="1784" spans="1:7" x14ac:dyDescent="0.3">
      <c r="A1784" s="42">
        <v>45945</v>
      </c>
      <c r="B1784" s="43">
        <v>0.65773148148148153</v>
      </c>
      <c r="C1784" t="s">
        <v>152</v>
      </c>
      <c r="D1784" t="s">
        <v>50</v>
      </c>
      <c r="E1784" t="s">
        <v>352</v>
      </c>
      <c r="F1784">
        <v>-17910</v>
      </c>
      <c r="G1784" t="s">
        <v>266</v>
      </c>
    </row>
    <row r="1785" spans="1:7" x14ac:dyDescent="0.3">
      <c r="A1785" s="42">
        <v>45945</v>
      </c>
      <c r="B1785" s="43">
        <v>0.51060185185185181</v>
      </c>
      <c r="C1785" t="s">
        <v>152</v>
      </c>
      <c r="D1785" t="s">
        <v>50</v>
      </c>
      <c r="E1785" t="s">
        <v>184</v>
      </c>
      <c r="F1785">
        <v>-9600</v>
      </c>
      <c r="G1785" t="s">
        <v>154</v>
      </c>
    </row>
    <row r="1786" spans="1:7" x14ac:dyDescent="0.3">
      <c r="A1786" s="42">
        <v>45945</v>
      </c>
      <c r="B1786" s="43">
        <v>0.31336805555555558</v>
      </c>
      <c r="C1786" t="s">
        <v>152</v>
      </c>
      <c r="D1786" t="s">
        <v>44</v>
      </c>
      <c r="E1786" t="s">
        <v>430</v>
      </c>
      <c r="F1786">
        <v>-17200</v>
      </c>
      <c r="G1786" t="s">
        <v>266</v>
      </c>
    </row>
    <row r="1787" spans="1:7" x14ac:dyDescent="0.3">
      <c r="A1787" s="42">
        <v>45944</v>
      </c>
      <c r="B1787" s="43">
        <v>0.79932870370370368</v>
      </c>
      <c r="C1787" t="s">
        <v>155</v>
      </c>
      <c r="D1787" t="s">
        <v>213</v>
      </c>
      <c r="E1787" t="s">
        <v>721</v>
      </c>
      <c r="F1787">
        <v>-1419504</v>
      </c>
      <c r="G1787" t="s">
        <v>61</v>
      </c>
    </row>
    <row r="1788" spans="1:7" x14ac:dyDescent="0.3">
      <c r="A1788" s="42">
        <v>45944</v>
      </c>
      <c r="B1788" s="43">
        <v>0.68196759259259254</v>
      </c>
      <c r="C1788" t="s">
        <v>152</v>
      </c>
      <c r="D1788" t="s">
        <v>50</v>
      </c>
      <c r="E1788" t="s">
        <v>184</v>
      </c>
      <c r="F1788">
        <v>-1600</v>
      </c>
      <c r="G1788" t="s">
        <v>154</v>
      </c>
    </row>
    <row r="1789" spans="1:7" x14ac:dyDescent="0.3">
      <c r="A1789" s="42">
        <v>45944</v>
      </c>
      <c r="B1789" s="43">
        <v>0.64164351851851853</v>
      </c>
      <c r="C1789" t="s">
        <v>152</v>
      </c>
      <c r="D1789" t="s">
        <v>47</v>
      </c>
      <c r="E1789" t="s">
        <v>209</v>
      </c>
      <c r="F1789">
        <v>-36000</v>
      </c>
      <c r="G1789" t="s">
        <v>154</v>
      </c>
    </row>
    <row r="1790" spans="1:7" x14ac:dyDescent="0.3">
      <c r="A1790" s="42">
        <v>45944</v>
      </c>
      <c r="B1790" s="43">
        <v>0.41104166666666669</v>
      </c>
      <c r="C1790" t="s">
        <v>152</v>
      </c>
      <c r="D1790" t="s">
        <v>36</v>
      </c>
      <c r="E1790" t="s">
        <v>232</v>
      </c>
      <c r="F1790">
        <v>-1550</v>
      </c>
      <c r="G1790" t="s">
        <v>161</v>
      </c>
    </row>
    <row r="1791" spans="1:7" x14ac:dyDescent="0.3">
      <c r="A1791" s="42">
        <v>45943</v>
      </c>
      <c r="B1791" s="43">
        <v>0.92509259259259258</v>
      </c>
      <c r="C1791" t="s">
        <v>152</v>
      </c>
      <c r="D1791" t="s">
        <v>44</v>
      </c>
      <c r="E1791" t="s">
        <v>190</v>
      </c>
      <c r="F1791">
        <v>-6990</v>
      </c>
      <c r="G1791" t="s">
        <v>154</v>
      </c>
    </row>
    <row r="1792" spans="1:7" x14ac:dyDescent="0.3">
      <c r="A1792" s="42">
        <v>45943</v>
      </c>
      <c r="B1792" s="43">
        <v>0.81582175925925926</v>
      </c>
      <c r="C1792" t="s">
        <v>155</v>
      </c>
      <c r="D1792" t="s">
        <v>213</v>
      </c>
      <c r="E1792" t="s">
        <v>326</v>
      </c>
      <c r="F1792">
        <v>-414662</v>
      </c>
      <c r="G1792" t="s">
        <v>61</v>
      </c>
    </row>
    <row r="1793" spans="1:7" x14ac:dyDescent="0.3">
      <c r="A1793" s="42">
        <v>45943</v>
      </c>
      <c r="B1793" s="43">
        <v>0.74159722222222224</v>
      </c>
      <c r="C1793" t="s">
        <v>152</v>
      </c>
      <c r="D1793" t="s">
        <v>44</v>
      </c>
      <c r="E1793" t="s">
        <v>190</v>
      </c>
      <c r="F1793">
        <v>15060</v>
      </c>
      <c r="G1793" t="s">
        <v>154</v>
      </c>
    </row>
    <row r="1794" spans="1:7" x14ac:dyDescent="0.3">
      <c r="A1794" s="42">
        <v>45943</v>
      </c>
      <c r="B1794" s="43">
        <v>0.69097222222222221</v>
      </c>
      <c r="C1794" t="s">
        <v>152</v>
      </c>
      <c r="D1794" t="s">
        <v>44</v>
      </c>
      <c r="E1794" t="s">
        <v>190</v>
      </c>
      <c r="F1794">
        <v>-15060</v>
      </c>
      <c r="G1794" t="s">
        <v>154</v>
      </c>
    </row>
    <row r="1795" spans="1:7" x14ac:dyDescent="0.3">
      <c r="A1795" s="42">
        <v>45943</v>
      </c>
      <c r="B1795" s="43">
        <v>0.68695601851851851</v>
      </c>
      <c r="C1795" t="s">
        <v>152</v>
      </c>
      <c r="D1795" t="s">
        <v>44</v>
      </c>
      <c r="E1795" t="s">
        <v>190</v>
      </c>
      <c r="F1795">
        <v>-15060</v>
      </c>
      <c r="G1795" t="s">
        <v>154</v>
      </c>
    </row>
    <row r="1796" spans="1:7" x14ac:dyDescent="0.3">
      <c r="A1796" s="42">
        <v>45942</v>
      </c>
      <c r="B1796" s="43">
        <v>0.81538194444444445</v>
      </c>
      <c r="C1796" t="s">
        <v>155</v>
      </c>
      <c r="D1796" t="s">
        <v>163</v>
      </c>
      <c r="E1796" t="s">
        <v>164</v>
      </c>
      <c r="F1796">
        <v>191000</v>
      </c>
      <c r="G1796" t="s">
        <v>158</v>
      </c>
    </row>
    <row r="1797" spans="1:7" x14ac:dyDescent="0.3">
      <c r="A1797" s="42">
        <v>45942</v>
      </c>
      <c r="B1797" s="43">
        <v>0.81538194444444445</v>
      </c>
      <c r="C1797" t="s">
        <v>152</v>
      </c>
      <c r="D1797" t="s">
        <v>37</v>
      </c>
      <c r="E1797" t="s">
        <v>165</v>
      </c>
      <c r="F1797">
        <v>-200000</v>
      </c>
      <c r="G1797" t="s">
        <v>158</v>
      </c>
    </row>
    <row r="1798" spans="1:7" x14ac:dyDescent="0.3">
      <c r="A1798" s="42">
        <v>45942</v>
      </c>
      <c r="B1798" s="43">
        <v>0.81538194444444445</v>
      </c>
      <c r="C1798" t="s">
        <v>155</v>
      </c>
      <c r="D1798" t="s">
        <v>163</v>
      </c>
      <c r="E1798" t="s">
        <v>166</v>
      </c>
      <c r="F1798">
        <v>-191000</v>
      </c>
      <c r="G1798" t="s">
        <v>61</v>
      </c>
    </row>
    <row r="1799" spans="1:7" x14ac:dyDescent="0.3">
      <c r="A1799" s="42">
        <v>45942</v>
      </c>
      <c r="B1799" s="43">
        <v>0.45458333333333328</v>
      </c>
      <c r="C1799" t="s">
        <v>155</v>
      </c>
      <c r="D1799" t="s">
        <v>163</v>
      </c>
      <c r="E1799" t="s">
        <v>722</v>
      </c>
      <c r="F1799">
        <v>117101</v>
      </c>
      <c r="G1799" t="s">
        <v>723</v>
      </c>
    </row>
    <row r="1800" spans="1:7" x14ac:dyDescent="0.3">
      <c r="A1800" s="42">
        <v>45942</v>
      </c>
      <c r="B1800" s="43">
        <v>0.45144675925925931</v>
      </c>
      <c r="C1800" t="s">
        <v>152</v>
      </c>
      <c r="D1800" t="s">
        <v>44</v>
      </c>
      <c r="E1800" t="s">
        <v>159</v>
      </c>
      <c r="F1800">
        <v>-13900</v>
      </c>
      <c r="G1800" t="s">
        <v>154</v>
      </c>
    </row>
    <row r="1801" spans="1:7" x14ac:dyDescent="0.3">
      <c r="A1801" s="42">
        <v>45941</v>
      </c>
      <c r="B1801" s="43">
        <v>0.78011574074074075</v>
      </c>
      <c r="C1801" t="s">
        <v>152</v>
      </c>
      <c r="D1801" t="s">
        <v>44</v>
      </c>
      <c r="E1801" t="s">
        <v>724</v>
      </c>
      <c r="F1801">
        <v>-2000</v>
      </c>
      <c r="G1801" t="s">
        <v>154</v>
      </c>
    </row>
    <row r="1802" spans="1:7" x14ac:dyDescent="0.3">
      <c r="A1802" s="42">
        <v>45941</v>
      </c>
      <c r="B1802" s="43">
        <v>0.7174652777777778</v>
      </c>
      <c r="C1802" t="s">
        <v>152</v>
      </c>
      <c r="D1802" t="s">
        <v>50</v>
      </c>
      <c r="E1802" t="s">
        <v>725</v>
      </c>
      <c r="F1802">
        <v>-41400</v>
      </c>
      <c r="G1802" t="s">
        <v>154</v>
      </c>
    </row>
    <row r="1803" spans="1:7" x14ac:dyDescent="0.3">
      <c r="A1803" s="42">
        <v>45941</v>
      </c>
      <c r="B1803" s="43">
        <v>0.68005787037037035</v>
      </c>
      <c r="C1803" t="s">
        <v>152</v>
      </c>
      <c r="D1803" t="s">
        <v>50</v>
      </c>
      <c r="E1803" t="s">
        <v>725</v>
      </c>
      <c r="F1803">
        <v>-22600</v>
      </c>
      <c r="G1803" t="s">
        <v>154</v>
      </c>
    </row>
    <row r="1804" spans="1:7" x14ac:dyDescent="0.3">
      <c r="A1804" s="42">
        <v>45941</v>
      </c>
      <c r="B1804" s="43">
        <v>0.44381944444444438</v>
      </c>
      <c r="C1804" t="s">
        <v>152</v>
      </c>
      <c r="D1804" t="s">
        <v>40</v>
      </c>
      <c r="E1804" t="s">
        <v>572</v>
      </c>
      <c r="F1804">
        <v>-4000</v>
      </c>
      <c r="G1804" t="s">
        <v>154</v>
      </c>
    </row>
    <row r="1805" spans="1:7" x14ac:dyDescent="0.3">
      <c r="A1805" s="42">
        <v>45941</v>
      </c>
      <c r="B1805" s="43">
        <v>0</v>
      </c>
      <c r="C1805" t="s">
        <v>152</v>
      </c>
      <c r="D1805" t="s">
        <v>37</v>
      </c>
      <c r="E1805" t="s">
        <v>498</v>
      </c>
      <c r="F1805">
        <v>14300</v>
      </c>
      <c r="G1805" t="s">
        <v>266</v>
      </c>
    </row>
    <row r="1806" spans="1:7" x14ac:dyDescent="0.3">
      <c r="A1806" s="42">
        <v>45940</v>
      </c>
      <c r="B1806" s="43">
        <v>0.88457175925925924</v>
      </c>
      <c r="C1806" t="s">
        <v>152</v>
      </c>
      <c r="D1806" t="s">
        <v>38</v>
      </c>
      <c r="E1806" t="s">
        <v>726</v>
      </c>
      <c r="F1806">
        <v>-100000</v>
      </c>
      <c r="G1806" t="s">
        <v>60</v>
      </c>
    </row>
    <row r="1807" spans="1:7" x14ac:dyDescent="0.3">
      <c r="A1807" s="42">
        <v>45940</v>
      </c>
      <c r="B1807" s="43">
        <v>0.63438657407407406</v>
      </c>
      <c r="C1807" t="s">
        <v>152</v>
      </c>
      <c r="D1807" t="s">
        <v>44</v>
      </c>
      <c r="E1807" t="s">
        <v>179</v>
      </c>
      <c r="F1807">
        <v>-34900</v>
      </c>
      <c r="G1807" t="s">
        <v>180</v>
      </c>
    </row>
    <row r="1808" spans="1:7" x14ac:dyDescent="0.3">
      <c r="A1808" s="42">
        <v>45940</v>
      </c>
      <c r="B1808" s="43">
        <v>0.61174768518518519</v>
      </c>
      <c r="C1808" t="s">
        <v>152</v>
      </c>
      <c r="D1808" t="s">
        <v>49</v>
      </c>
      <c r="E1808" t="s">
        <v>727</v>
      </c>
      <c r="F1808">
        <v>-8000</v>
      </c>
      <c r="G1808" t="s">
        <v>180</v>
      </c>
    </row>
    <row r="1809" spans="1:7" x14ac:dyDescent="0.3">
      <c r="A1809" s="42">
        <v>45940</v>
      </c>
      <c r="B1809" s="43">
        <v>0.59442129629629625</v>
      </c>
      <c r="C1809" t="s">
        <v>176</v>
      </c>
      <c r="D1809" t="s">
        <v>32</v>
      </c>
      <c r="E1809" t="s">
        <v>177</v>
      </c>
      <c r="F1809">
        <v>337900</v>
      </c>
      <c r="G1809" t="s">
        <v>61</v>
      </c>
    </row>
    <row r="1810" spans="1:7" x14ac:dyDescent="0.3">
      <c r="A1810" s="42">
        <v>45940</v>
      </c>
      <c r="B1810" s="43">
        <v>0.54319444444444442</v>
      </c>
      <c r="C1810" t="s">
        <v>152</v>
      </c>
      <c r="D1810" t="s">
        <v>44</v>
      </c>
      <c r="E1810" t="s">
        <v>190</v>
      </c>
      <c r="F1810">
        <v>15710</v>
      </c>
      <c r="G1810" t="s">
        <v>154</v>
      </c>
    </row>
    <row r="1811" spans="1:7" x14ac:dyDescent="0.3">
      <c r="A1811" s="42">
        <v>45940</v>
      </c>
      <c r="B1811" s="43">
        <v>0.5335185185185185</v>
      </c>
      <c r="C1811" t="s">
        <v>152</v>
      </c>
      <c r="D1811" t="s">
        <v>42</v>
      </c>
      <c r="E1811" t="s">
        <v>728</v>
      </c>
      <c r="F1811">
        <v>-31000</v>
      </c>
      <c r="G1811" t="s">
        <v>180</v>
      </c>
    </row>
    <row r="1812" spans="1:7" x14ac:dyDescent="0.3">
      <c r="A1812" s="42">
        <v>45940</v>
      </c>
      <c r="B1812" s="43">
        <v>0.50920138888888888</v>
      </c>
      <c r="C1812" t="s">
        <v>152</v>
      </c>
      <c r="D1812" t="s">
        <v>44</v>
      </c>
      <c r="E1812" t="s">
        <v>375</v>
      </c>
      <c r="F1812">
        <v>-13940</v>
      </c>
      <c r="G1812" t="s">
        <v>266</v>
      </c>
    </row>
    <row r="1813" spans="1:7" x14ac:dyDescent="0.3">
      <c r="A1813" s="42">
        <v>45940</v>
      </c>
      <c r="B1813" s="43">
        <v>0.48182870370370368</v>
      </c>
      <c r="C1813" t="s">
        <v>152</v>
      </c>
      <c r="D1813" t="s">
        <v>44</v>
      </c>
      <c r="E1813" t="s">
        <v>190</v>
      </c>
      <c r="F1813">
        <v>-15710</v>
      </c>
      <c r="G1813" t="s">
        <v>154</v>
      </c>
    </row>
    <row r="1814" spans="1:7" x14ac:dyDescent="0.3">
      <c r="A1814" s="42">
        <v>45940</v>
      </c>
      <c r="B1814" s="43">
        <v>0.48105324074074068</v>
      </c>
      <c r="C1814" t="s">
        <v>152</v>
      </c>
      <c r="D1814" t="s">
        <v>44</v>
      </c>
      <c r="E1814" t="s">
        <v>190</v>
      </c>
      <c r="F1814">
        <v>-27500</v>
      </c>
      <c r="G1814" t="s">
        <v>154</v>
      </c>
    </row>
    <row r="1815" spans="1:7" x14ac:dyDescent="0.3">
      <c r="A1815" s="42">
        <v>45940</v>
      </c>
      <c r="B1815" s="43">
        <v>4.2372685185185187E-2</v>
      </c>
      <c r="C1815" t="s">
        <v>152</v>
      </c>
      <c r="D1815" t="s">
        <v>48</v>
      </c>
      <c r="E1815" t="s">
        <v>308</v>
      </c>
      <c r="F1815">
        <v>-15180</v>
      </c>
      <c r="G1815" t="s">
        <v>154</v>
      </c>
    </row>
    <row r="1816" spans="1:7" x14ac:dyDescent="0.3">
      <c r="A1816" s="42">
        <v>45940</v>
      </c>
      <c r="B1816" s="43">
        <v>4.2372685185185187E-2</v>
      </c>
      <c r="C1816" t="s">
        <v>152</v>
      </c>
      <c r="D1816" t="s">
        <v>48</v>
      </c>
      <c r="E1816" t="s">
        <v>311</v>
      </c>
      <c r="F1816">
        <v>-49600</v>
      </c>
      <c r="G1816" t="s">
        <v>154</v>
      </c>
    </row>
    <row r="1817" spans="1:7" x14ac:dyDescent="0.3">
      <c r="A1817" s="42">
        <v>45939</v>
      </c>
      <c r="B1817" s="43">
        <v>0.57347222222222227</v>
      </c>
      <c r="C1817" t="s">
        <v>152</v>
      </c>
      <c r="D1817" t="s">
        <v>49</v>
      </c>
      <c r="E1817" t="s">
        <v>729</v>
      </c>
      <c r="F1817">
        <v>-1800</v>
      </c>
      <c r="G1817" t="s">
        <v>180</v>
      </c>
    </row>
    <row r="1818" spans="1:7" x14ac:dyDescent="0.3">
      <c r="A1818" s="42">
        <v>45939</v>
      </c>
      <c r="B1818" s="43">
        <v>0.39376157407407408</v>
      </c>
      <c r="C1818" t="s">
        <v>152</v>
      </c>
      <c r="D1818" t="s">
        <v>45</v>
      </c>
      <c r="E1818" t="s">
        <v>548</v>
      </c>
      <c r="F1818">
        <v>-18900</v>
      </c>
      <c r="G1818" t="s">
        <v>182</v>
      </c>
    </row>
    <row r="1819" spans="1:7" x14ac:dyDescent="0.3">
      <c r="A1819" s="42">
        <v>45938</v>
      </c>
      <c r="B1819" s="43">
        <v>0.76039351851851855</v>
      </c>
      <c r="C1819" t="s">
        <v>152</v>
      </c>
      <c r="D1819" t="s">
        <v>50</v>
      </c>
      <c r="E1819" t="s">
        <v>593</v>
      </c>
      <c r="F1819">
        <v>-12480</v>
      </c>
      <c r="G1819" t="s">
        <v>180</v>
      </c>
    </row>
    <row r="1820" spans="1:7" x14ac:dyDescent="0.3">
      <c r="A1820" s="42">
        <v>45938</v>
      </c>
      <c r="B1820" s="43">
        <v>0.70119212962962962</v>
      </c>
      <c r="C1820" t="s">
        <v>152</v>
      </c>
      <c r="D1820" t="s">
        <v>34</v>
      </c>
      <c r="E1820" t="s">
        <v>730</v>
      </c>
      <c r="F1820">
        <v>-6800</v>
      </c>
      <c r="G1820" t="s">
        <v>180</v>
      </c>
    </row>
    <row r="1821" spans="1:7" x14ac:dyDescent="0.3">
      <c r="A1821" s="42">
        <v>45938</v>
      </c>
      <c r="B1821" s="43">
        <v>0.68060185185185185</v>
      </c>
      <c r="C1821" t="s">
        <v>152</v>
      </c>
      <c r="D1821" t="s">
        <v>34</v>
      </c>
      <c r="E1821" t="s">
        <v>730</v>
      </c>
      <c r="F1821">
        <v>-3800</v>
      </c>
      <c r="G1821" t="s">
        <v>180</v>
      </c>
    </row>
    <row r="1822" spans="1:7" x14ac:dyDescent="0.3">
      <c r="A1822" s="42">
        <v>45938</v>
      </c>
      <c r="B1822" s="43">
        <v>0.59092592592592597</v>
      </c>
      <c r="C1822" t="s">
        <v>152</v>
      </c>
      <c r="D1822" t="s">
        <v>46</v>
      </c>
      <c r="E1822" t="s">
        <v>731</v>
      </c>
      <c r="F1822">
        <v>-28710</v>
      </c>
      <c r="G1822" t="s">
        <v>182</v>
      </c>
    </row>
    <row r="1823" spans="1:7" x14ac:dyDescent="0.3">
      <c r="A1823" s="42">
        <v>45938</v>
      </c>
      <c r="B1823" s="43">
        <v>0.5727430555555556</v>
      </c>
      <c r="C1823" t="s">
        <v>152</v>
      </c>
      <c r="D1823" t="s">
        <v>47</v>
      </c>
      <c r="E1823" t="s">
        <v>732</v>
      </c>
      <c r="F1823">
        <v>-4000</v>
      </c>
      <c r="G1823" t="s">
        <v>180</v>
      </c>
    </row>
    <row r="1824" spans="1:7" x14ac:dyDescent="0.3">
      <c r="A1824" s="42">
        <v>45938</v>
      </c>
      <c r="B1824" s="43">
        <v>0.57064814814814813</v>
      </c>
      <c r="C1824" t="s">
        <v>152</v>
      </c>
      <c r="D1824" t="s">
        <v>47</v>
      </c>
      <c r="E1824" t="s">
        <v>732</v>
      </c>
      <c r="F1824">
        <v>-50000</v>
      </c>
      <c r="G1824" t="s">
        <v>180</v>
      </c>
    </row>
    <row r="1825" spans="1:7" x14ac:dyDescent="0.3">
      <c r="A1825" s="42">
        <v>45937</v>
      </c>
      <c r="B1825" s="43">
        <v>0.92476851851851849</v>
      </c>
      <c r="C1825" t="s">
        <v>152</v>
      </c>
      <c r="D1825" t="s">
        <v>44</v>
      </c>
      <c r="E1825" t="s">
        <v>190</v>
      </c>
      <c r="F1825">
        <v>-7650</v>
      </c>
      <c r="G1825" t="s">
        <v>154</v>
      </c>
    </row>
    <row r="1826" spans="1:7" x14ac:dyDescent="0.3">
      <c r="A1826" s="42">
        <v>45937</v>
      </c>
      <c r="B1826" s="43">
        <v>0.70318287037037042</v>
      </c>
      <c r="C1826" t="s">
        <v>152</v>
      </c>
      <c r="D1826" t="s">
        <v>40</v>
      </c>
      <c r="E1826" t="s">
        <v>733</v>
      </c>
      <c r="F1826">
        <v>-42190</v>
      </c>
      <c r="G1826" t="s">
        <v>180</v>
      </c>
    </row>
    <row r="1827" spans="1:7" x14ac:dyDescent="0.3">
      <c r="A1827" s="42">
        <v>45937</v>
      </c>
      <c r="B1827" s="43">
        <v>0.69679398148148153</v>
      </c>
      <c r="C1827" t="s">
        <v>152</v>
      </c>
      <c r="D1827" t="s">
        <v>44</v>
      </c>
      <c r="E1827" t="s">
        <v>190</v>
      </c>
      <c r="F1827">
        <v>-7370</v>
      </c>
      <c r="G1827" t="s">
        <v>154</v>
      </c>
    </row>
    <row r="1828" spans="1:7" x14ac:dyDescent="0.3">
      <c r="A1828" s="42">
        <v>45937</v>
      </c>
      <c r="B1828" s="43">
        <v>0.68478009259259254</v>
      </c>
      <c r="C1828" t="s">
        <v>152</v>
      </c>
      <c r="D1828" t="s">
        <v>40</v>
      </c>
      <c r="E1828" t="s">
        <v>733</v>
      </c>
      <c r="F1828">
        <v>-3000</v>
      </c>
      <c r="G1828" t="s">
        <v>180</v>
      </c>
    </row>
    <row r="1829" spans="1:7" x14ac:dyDescent="0.3">
      <c r="A1829" s="42">
        <v>45937</v>
      </c>
      <c r="B1829" s="43">
        <v>0.62953703703703701</v>
      </c>
      <c r="C1829" t="s">
        <v>152</v>
      </c>
      <c r="D1829" t="s">
        <v>50</v>
      </c>
      <c r="E1829" t="s">
        <v>734</v>
      </c>
      <c r="F1829">
        <v>-30000</v>
      </c>
      <c r="G1829" t="s">
        <v>266</v>
      </c>
    </row>
    <row r="1830" spans="1:7" x14ac:dyDescent="0.3">
      <c r="A1830" s="42">
        <v>45936</v>
      </c>
      <c r="B1830" s="43">
        <v>0.7223032407407407</v>
      </c>
      <c r="C1830" t="s">
        <v>152</v>
      </c>
      <c r="D1830" t="s">
        <v>42</v>
      </c>
      <c r="E1830" t="s">
        <v>481</v>
      </c>
      <c r="F1830">
        <v>-32000</v>
      </c>
      <c r="G1830" t="s">
        <v>266</v>
      </c>
    </row>
    <row r="1831" spans="1:7" x14ac:dyDescent="0.3">
      <c r="A1831" s="42">
        <v>45936</v>
      </c>
      <c r="B1831" s="43">
        <v>0.54690972222222223</v>
      </c>
      <c r="C1831" t="s">
        <v>155</v>
      </c>
      <c r="D1831" t="s">
        <v>155</v>
      </c>
      <c r="E1831" t="s">
        <v>735</v>
      </c>
      <c r="F1831">
        <v>86000</v>
      </c>
      <c r="G1831" t="s">
        <v>61</v>
      </c>
    </row>
    <row r="1832" spans="1:7" x14ac:dyDescent="0.3">
      <c r="A1832" s="42">
        <v>45936</v>
      </c>
      <c r="B1832" s="43">
        <v>0.40729166666666672</v>
      </c>
      <c r="C1832" t="s">
        <v>152</v>
      </c>
      <c r="D1832" t="s">
        <v>36</v>
      </c>
      <c r="E1832" t="s">
        <v>244</v>
      </c>
      <c r="F1832">
        <v>-500</v>
      </c>
      <c r="G1832" t="s">
        <v>161</v>
      </c>
    </row>
    <row r="1833" spans="1:7" x14ac:dyDescent="0.3">
      <c r="A1833" s="42">
        <v>45936</v>
      </c>
      <c r="B1833" s="43">
        <v>0.40728009259259262</v>
      </c>
      <c r="C1833" t="s">
        <v>152</v>
      </c>
      <c r="D1833" t="s">
        <v>36</v>
      </c>
      <c r="E1833" t="s">
        <v>226</v>
      </c>
      <c r="F1833">
        <v>-3000</v>
      </c>
      <c r="G1833" t="s">
        <v>161</v>
      </c>
    </row>
    <row r="1834" spans="1:7" x14ac:dyDescent="0.3">
      <c r="A1834" s="42">
        <v>45935</v>
      </c>
      <c r="B1834" s="43">
        <v>0.46414351851851848</v>
      </c>
      <c r="C1834" t="s">
        <v>155</v>
      </c>
      <c r="D1834" t="s">
        <v>163</v>
      </c>
      <c r="E1834" t="s">
        <v>7</v>
      </c>
      <c r="F1834">
        <v>-500000</v>
      </c>
      <c r="G1834" t="s">
        <v>60</v>
      </c>
    </row>
    <row r="1835" spans="1:7" x14ac:dyDescent="0.3">
      <c r="A1835" s="42">
        <v>45935</v>
      </c>
      <c r="B1835" s="43">
        <v>0.34179398148148149</v>
      </c>
      <c r="C1835" t="s">
        <v>155</v>
      </c>
      <c r="D1835" t="s">
        <v>155</v>
      </c>
      <c r="E1835" t="s">
        <v>277</v>
      </c>
      <c r="F1835">
        <v>-480000</v>
      </c>
      <c r="G1835" t="s">
        <v>67</v>
      </c>
    </row>
    <row r="1836" spans="1:7" x14ac:dyDescent="0.3">
      <c r="A1836" s="42">
        <v>45934</v>
      </c>
      <c r="B1836" s="43">
        <v>0.83929398148148149</v>
      </c>
      <c r="C1836" t="s">
        <v>152</v>
      </c>
      <c r="D1836" t="s">
        <v>44</v>
      </c>
      <c r="E1836" t="s">
        <v>444</v>
      </c>
      <c r="F1836">
        <v>-6300</v>
      </c>
      <c r="G1836" t="s">
        <v>186</v>
      </c>
    </row>
    <row r="1837" spans="1:7" x14ac:dyDescent="0.3">
      <c r="A1837" s="42">
        <v>45934</v>
      </c>
      <c r="B1837" s="43">
        <v>0.83405092592592589</v>
      </c>
      <c r="C1837" t="s">
        <v>152</v>
      </c>
      <c r="D1837" t="s">
        <v>44</v>
      </c>
      <c r="E1837" t="s">
        <v>444</v>
      </c>
      <c r="F1837">
        <v>-246310</v>
      </c>
      <c r="G1837" t="s">
        <v>186</v>
      </c>
    </row>
    <row r="1838" spans="1:7" x14ac:dyDescent="0.3">
      <c r="A1838" s="42">
        <v>45934</v>
      </c>
      <c r="B1838" s="43">
        <v>0.49237268518518518</v>
      </c>
      <c r="C1838" t="s">
        <v>152</v>
      </c>
      <c r="D1838" t="s">
        <v>45</v>
      </c>
      <c r="E1838" t="s">
        <v>736</v>
      </c>
      <c r="F1838">
        <v>-13800</v>
      </c>
      <c r="G1838" t="s">
        <v>186</v>
      </c>
    </row>
    <row r="1839" spans="1:7" x14ac:dyDescent="0.3">
      <c r="A1839" s="42">
        <v>45934</v>
      </c>
      <c r="B1839" s="43">
        <v>0.42630787037037038</v>
      </c>
      <c r="C1839" t="s">
        <v>152</v>
      </c>
      <c r="D1839" t="s">
        <v>36</v>
      </c>
      <c r="E1839" t="s">
        <v>225</v>
      </c>
      <c r="F1839">
        <v>-300</v>
      </c>
      <c r="G1839" t="s">
        <v>161</v>
      </c>
    </row>
    <row r="1840" spans="1:7" x14ac:dyDescent="0.3">
      <c r="A1840" s="42">
        <v>45934</v>
      </c>
      <c r="B1840" s="43">
        <v>0.42629629629629628</v>
      </c>
      <c r="C1840" t="s">
        <v>152</v>
      </c>
      <c r="D1840" t="s">
        <v>36</v>
      </c>
      <c r="E1840" t="s">
        <v>612</v>
      </c>
      <c r="F1840">
        <v>-3100</v>
      </c>
      <c r="G1840" t="s">
        <v>161</v>
      </c>
    </row>
    <row r="1841" spans="1:7" x14ac:dyDescent="0.3">
      <c r="A1841" s="42">
        <v>45933</v>
      </c>
      <c r="B1841" s="43">
        <v>0.5627199074074074</v>
      </c>
      <c r="C1841" t="s">
        <v>152</v>
      </c>
      <c r="D1841" t="s">
        <v>42</v>
      </c>
      <c r="E1841" t="s">
        <v>362</v>
      </c>
      <c r="F1841">
        <v>-127200</v>
      </c>
      <c r="G1841" t="s">
        <v>186</v>
      </c>
    </row>
    <row r="1842" spans="1:7" x14ac:dyDescent="0.3">
      <c r="A1842" s="42">
        <v>45933</v>
      </c>
      <c r="B1842" s="43">
        <v>0.52056712962962959</v>
      </c>
      <c r="C1842" t="s">
        <v>152</v>
      </c>
      <c r="D1842" t="s">
        <v>42</v>
      </c>
      <c r="E1842" t="s">
        <v>737</v>
      </c>
      <c r="F1842">
        <v>-60180</v>
      </c>
      <c r="G1842" t="s">
        <v>186</v>
      </c>
    </row>
    <row r="1843" spans="1:7" x14ac:dyDescent="0.3">
      <c r="A1843" s="42">
        <v>45933</v>
      </c>
      <c r="B1843" s="43">
        <v>0.42553240740740739</v>
      </c>
      <c r="C1843" t="s">
        <v>152</v>
      </c>
      <c r="D1843" t="s">
        <v>36</v>
      </c>
      <c r="E1843" t="s">
        <v>226</v>
      </c>
      <c r="F1843">
        <v>-3000</v>
      </c>
      <c r="G1843" t="s">
        <v>161</v>
      </c>
    </row>
    <row r="1844" spans="1:7" x14ac:dyDescent="0.3">
      <c r="A1844" s="42">
        <v>45933</v>
      </c>
      <c r="B1844" s="43">
        <v>0.42553240740740739</v>
      </c>
      <c r="C1844" t="s">
        <v>152</v>
      </c>
      <c r="D1844" t="s">
        <v>36</v>
      </c>
      <c r="E1844" t="s">
        <v>365</v>
      </c>
      <c r="F1844">
        <v>-4000</v>
      </c>
      <c r="G1844" t="s">
        <v>161</v>
      </c>
    </row>
    <row r="1845" spans="1:7" x14ac:dyDescent="0.3">
      <c r="A1845" s="42">
        <v>45933</v>
      </c>
      <c r="B1845" s="43">
        <v>0.42054398148148148</v>
      </c>
      <c r="C1845" t="s">
        <v>152</v>
      </c>
      <c r="D1845" t="s">
        <v>47</v>
      </c>
      <c r="E1845" t="s">
        <v>374</v>
      </c>
      <c r="F1845">
        <v>-20000</v>
      </c>
      <c r="G1845" t="s">
        <v>186</v>
      </c>
    </row>
    <row r="1846" spans="1:7" x14ac:dyDescent="0.3">
      <c r="A1846" s="42">
        <v>45932</v>
      </c>
      <c r="B1846" s="43">
        <v>0.5196412037037037</v>
      </c>
      <c r="C1846" t="s">
        <v>152</v>
      </c>
      <c r="D1846" t="s">
        <v>40</v>
      </c>
      <c r="E1846" t="s">
        <v>738</v>
      </c>
      <c r="F1846">
        <v>-10300</v>
      </c>
      <c r="G1846" t="s">
        <v>186</v>
      </c>
    </row>
    <row r="1847" spans="1:7" x14ac:dyDescent="0.3">
      <c r="A1847" s="42">
        <v>45932</v>
      </c>
      <c r="B1847" s="43">
        <v>0.36686342592592591</v>
      </c>
      <c r="C1847" t="s">
        <v>155</v>
      </c>
      <c r="D1847" t="s">
        <v>155</v>
      </c>
      <c r="E1847" t="s">
        <v>210</v>
      </c>
      <c r="F1847">
        <v>213000</v>
      </c>
      <c r="G1847" t="s">
        <v>60</v>
      </c>
    </row>
    <row r="1848" spans="1:7" x14ac:dyDescent="0.3">
      <c r="A1848" s="42">
        <v>45931</v>
      </c>
      <c r="B1848" s="43">
        <v>0.80268518518518517</v>
      </c>
      <c r="C1848" t="s">
        <v>155</v>
      </c>
      <c r="D1848" t="s">
        <v>213</v>
      </c>
      <c r="E1848" t="s">
        <v>214</v>
      </c>
      <c r="F1848">
        <v>-60500</v>
      </c>
      <c r="G1848" t="s">
        <v>61</v>
      </c>
    </row>
    <row r="1849" spans="1:7" x14ac:dyDescent="0.3">
      <c r="A1849" s="42">
        <v>45931</v>
      </c>
      <c r="B1849" s="43">
        <v>0.69311342592592595</v>
      </c>
      <c r="C1849" t="s">
        <v>176</v>
      </c>
      <c r="D1849" t="s">
        <v>29</v>
      </c>
      <c r="E1849" t="s">
        <v>739</v>
      </c>
      <c r="F1849">
        <v>9000</v>
      </c>
      <c r="G1849" t="s">
        <v>61</v>
      </c>
    </row>
    <row r="1850" spans="1:7" x14ac:dyDescent="0.3">
      <c r="A1850" s="42">
        <v>45931</v>
      </c>
      <c r="B1850" s="43">
        <v>0</v>
      </c>
      <c r="C1850" t="s">
        <v>152</v>
      </c>
      <c r="D1850" t="s">
        <v>37</v>
      </c>
      <c r="E1850" t="s">
        <v>498</v>
      </c>
      <c r="F1850">
        <v>99000</v>
      </c>
      <c r="G1850" t="s">
        <v>266</v>
      </c>
    </row>
    <row r="1851" spans="1:7" x14ac:dyDescent="0.3">
      <c r="A1851" s="42">
        <v>45930</v>
      </c>
      <c r="B1851" s="43">
        <v>0.89439814814814811</v>
      </c>
      <c r="C1851" t="s">
        <v>152</v>
      </c>
      <c r="D1851" t="s">
        <v>37</v>
      </c>
      <c r="E1851" t="s">
        <v>498</v>
      </c>
      <c r="F1851">
        <v>-14300</v>
      </c>
      <c r="G1851" t="s">
        <v>266</v>
      </c>
    </row>
    <row r="1852" spans="1:7" x14ac:dyDescent="0.3">
      <c r="A1852" s="42">
        <v>45930</v>
      </c>
      <c r="B1852" s="43">
        <v>0.89415509259259263</v>
      </c>
      <c r="C1852" t="s">
        <v>152</v>
      </c>
      <c r="D1852" t="s">
        <v>37</v>
      </c>
      <c r="E1852" t="s">
        <v>498</v>
      </c>
      <c r="F1852">
        <v>-18500</v>
      </c>
      <c r="G1852" t="s">
        <v>266</v>
      </c>
    </row>
    <row r="1853" spans="1:7" x14ac:dyDescent="0.3">
      <c r="A1853" s="42">
        <v>45930</v>
      </c>
      <c r="B1853" s="43">
        <v>0.89390046296296299</v>
      </c>
      <c r="C1853" t="s">
        <v>152</v>
      </c>
      <c r="D1853" t="s">
        <v>37</v>
      </c>
      <c r="E1853" t="s">
        <v>498</v>
      </c>
      <c r="F1853">
        <v>-14300</v>
      </c>
      <c r="G1853" t="s">
        <v>266</v>
      </c>
    </row>
    <row r="1854" spans="1:7" x14ac:dyDescent="0.3">
      <c r="A1854" s="42">
        <v>45930</v>
      </c>
      <c r="B1854" s="43">
        <v>0.89359953703703698</v>
      </c>
      <c r="C1854" t="s">
        <v>152</v>
      </c>
      <c r="D1854" t="s">
        <v>37</v>
      </c>
      <c r="E1854" t="s">
        <v>498</v>
      </c>
      <c r="F1854">
        <v>-18500</v>
      </c>
      <c r="G1854" t="s">
        <v>266</v>
      </c>
    </row>
    <row r="1855" spans="1:7" x14ac:dyDescent="0.3">
      <c r="A1855" s="42">
        <v>45930</v>
      </c>
      <c r="B1855" s="43">
        <v>0.83877314814814818</v>
      </c>
      <c r="C1855" t="s">
        <v>152</v>
      </c>
      <c r="D1855" t="s">
        <v>50</v>
      </c>
      <c r="E1855" t="s">
        <v>593</v>
      </c>
      <c r="F1855">
        <v>-5290</v>
      </c>
      <c r="G1855" t="s">
        <v>266</v>
      </c>
    </row>
    <row r="1856" spans="1:7" x14ac:dyDescent="0.3">
      <c r="A1856" s="42">
        <v>45930</v>
      </c>
      <c r="B1856" s="43">
        <v>0.49968750000000001</v>
      </c>
      <c r="C1856" t="s">
        <v>152</v>
      </c>
      <c r="D1856" t="s">
        <v>44</v>
      </c>
      <c r="E1856" t="s">
        <v>473</v>
      </c>
      <c r="F1856">
        <v>-7890</v>
      </c>
      <c r="G1856" t="s">
        <v>266</v>
      </c>
    </row>
    <row r="1857" spans="1:7" x14ac:dyDescent="0.3">
      <c r="A1857" s="42">
        <v>45929</v>
      </c>
      <c r="B1857" s="43">
        <v>0.74121527777777774</v>
      </c>
      <c r="C1857" t="s">
        <v>152</v>
      </c>
      <c r="D1857" t="s">
        <v>44</v>
      </c>
      <c r="E1857" t="s">
        <v>190</v>
      </c>
      <c r="F1857">
        <v>-13660</v>
      </c>
      <c r="G1857" t="s">
        <v>154</v>
      </c>
    </row>
    <row r="1858" spans="1:7" x14ac:dyDescent="0.3">
      <c r="A1858" s="42">
        <v>45929</v>
      </c>
      <c r="B1858" s="43">
        <v>0.71748842592592588</v>
      </c>
      <c r="C1858" t="s">
        <v>152</v>
      </c>
      <c r="D1858" t="s">
        <v>42</v>
      </c>
      <c r="E1858" t="s">
        <v>492</v>
      </c>
      <c r="F1858">
        <v>-5650</v>
      </c>
      <c r="G1858" t="s">
        <v>266</v>
      </c>
    </row>
    <row r="1859" spans="1:7" x14ac:dyDescent="0.3">
      <c r="A1859" s="42">
        <v>45929</v>
      </c>
      <c r="B1859" s="43">
        <v>0.51321759259259259</v>
      </c>
      <c r="C1859" t="s">
        <v>152</v>
      </c>
      <c r="D1859" t="s">
        <v>44</v>
      </c>
      <c r="E1859" t="s">
        <v>375</v>
      </c>
      <c r="F1859">
        <v>-100</v>
      </c>
      <c r="G1859" t="s">
        <v>266</v>
      </c>
    </row>
    <row r="1860" spans="1:7" x14ac:dyDescent="0.3">
      <c r="A1860" s="42">
        <v>45929</v>
      </c>
      <c r="B1860" s="43">
        <v>0.49207175925925928</v>
      </c>
      <c r="C1860" t="s">
        <v>155</v>
      </c>
      <c r="D1860" t="s">
        <v>163</v>
      </c>
      <c r="E1860" t="s">
        <v>223</v>
      </c>
      <c r="F1860">
        <v>38</v>
      </c>
      <c r="G1860" t="s">
        <v>68</v>
      </c>
    </row>
    <row r="1861" spans="1:7" x14ac:dyDescent="0.3">
      <c r="A1861" s="42">
        <v>45929</v>
      </c>
      <c r="B1861" s="43">
        <v>0.49207175925925928</v>
      </c>
      <c r="C1861" t="s">
        <v>155</v>
      </c>
      <c r="D1861" t="s">
        <v>163</v>
      </c>
      <c r="E1861" t="s">
        <v>68</v>
      </c>
      <c r="F1861">
        <v>-38</v>
      </c>
      <c r="G1861" t="s">
        <v>67</v>
      </c>
    </row>
    <row r="1862" spans="1:7" x14ac:dyDescent="0.3">
      <c r="A1862" s="42">
        <v>45929</v>
      </c>
      <c r="B1862" s="43">
        <v>0.42334490740740738</v>
      </c>
      <c r="C1862" t="s">
        <v>152</v>
      </c>
      <c r="D1862" t="s">
        <v>36</v>
      </c>
      <c r="E1862" t="s">
        <v>244</v>
      </c>
      <c r="F1862">
        <v>-500</v>
      </c>
      <c r="G1862" t="s">
        <v>161</v>
      </c>
    </row>
    <row r="1863" spans="1:7" x14ac:dyDescent="0.3">
      <c r="A1863" s="42">
        <v>45929</v>
      </c>
      <c r="B1863" s="43">
        <v>0.42334490740740738</v>
      </c>
      <c r="C1863" t="s">
        <v>152</v>
      </c>
      <c r="D1863" t="s">
        <v>36</v>
      </c>
      <c r="E1863" t="s">
        <v>226</v>
      </c>
      <c r="F1863">
        <v>-3000</v>
      </c>
      <c r="G1863" t="s">
        <v>161</v>
      </c>
    </row>
    <row r="1864" spans="1:7" x14ac:dyDescent="0.3">
      <c r="A1864" s="42">
        <v>45929</v>
      </c>
      <c r="B1864" s="43">
        <v>0.41768518518518521</v>
      </c>
      <c r="C1864" t="s">
        <v>152</v>
      </c>
      <c r="D1864" t="s">
        <v>50</v>
      </c>
      <c r="E1864" t="s">
        <v>184</v>
      </c>
      <c r="F1864">
        <v>-1600</v>
      </c>
      <c r="G1864" t="s">
        <v>266</v>
      </c>
    </row>
    <row r="1865" spans="1:7" x14ac:dyDescent="0.3">
      <c r="A1865" s="42">
        <v>45928</v>
      </c>
      <c r="B1865" s="43">
        <v>0.42671296296296302</v>
      </c>
      <c r="C1865" t="s">
        <v>152</v>
      </c>
      <c r="D1865" t="s">
        <v>36</v>
      </c>
      <c r="E1865" t="s">
        <v>274</v>
      </c>
      <c r="F1865">
        <v>-1650</v>
      </c>
      <c r="G1865" t="s">
        <v>161</v>
      </c>
    </row>
    <row r="1866" spans="1:7" x14ac:dyDescent="0.3">
      <c r="A1866" s="42">
        <v>45928</v>
      </c>
      <c r="B1866" s="43">
        <v>0.42643518518518519</v>
      </c>
      <c r="C1866" t="s">
        <v>152</v>
      </c>
      <c r="D1866" t="s">
        <v>37</v>
      </c>
      <c r="E1866" t="s">
        <v>740</v>
      </c>
      <c r="F1866">
        <v>-2000</v>
      </c>
      <c r="G1866" t="s">
        <v>266</v>
      </c>
    </row>
    <row r="1867" spans="1:7" x14ac:dyDescent="0.3">
      <c r="A1867" s="42">
        <v>45928</v>
      </c>
      <c r="B1867" s="43">
        <v>0.41520833333333329</v>
      </c>
      <c r="C1867" t="s">
        <v>155</v>
      </c>
      <c r="D1867" t="s">
        <v>156</v>
      </c>
      <c r="E1867" t="s">
        <v>233</v>
      </c>
      <c r="F1867">
        <v>-20</v>
      </c>
      <c r="G1867" t="s">
        <v>64</v>
      </c>
    </row>
    <row r="1868" spans="1:7" x14ac:dyDescent="0.3">
      <c r="A1868" s="42">
        <v>45928</v>
      </c>
      <c r="B1868" s="43">
        <v>0.41520833333333329</v>
      </c>
      <c r="C1868" t="s">
        <v>155</v>
      </c>
      <c r="D1868" t="s">
        <v>156</v>
      </c>
      <c r="E1868" t="s">
        <v>233</v>
      </c>
      <c r="F1868">
        <v>-250</v>
      </c>
      <c r="G1868" t="s">
        <v>64</v>
      </c>
    </row>
    <row r="1869" spans="1:7" x14ac:dyDescent="0.3">
      <c r="A1869" s="42">
        <v>45928</v>
      </c>
      <c r="B1869" s="43">
        <v>0.41520833333333329</v>
      </c>
      <c r="C1869" t="s">
        <v>155</v>
      </c>
      <c r="D1869" t="s">
        <v>156</v>
      </c>
      <c r="E1869" t="s">
        <v>234</v>
      </c>
      <c r="F1869">
        <v>1791</v>
      </c>
      <c r="G1869" t="s">
        <v>64</v>
      </c>
    </row>
    <row r="1870" spans="1:7" x14ac:dyDescent="0.3">
      <c r="A1870" s="42">
        <v>45927</v>
      </c>
      <c r="B1870" s="43">
        <v>0.46388888888888891</v>
      </c>
      <c r="C1870" t="s">
        <v>152</v>
      </c>
      <c r="D1870" t="s">
        <v>42</v>
      </c>
      <c r="E1870" t="s">
        <v>741</v>
      </c>
      <c r="F1870">
        <v>-10000</v>
      </c>
      <c r="G1870" t="s">
        <v>266</v>
      </c>
    </row>
    <row r="1871" spans="1:7" x14ac:dyDescent="0.3">
      <c r="A1871" s="42">
        <v>45927</v>
      </c>
      <c r="B1871" s="43">
        <v>0.45574074074074072</v>
      </c>
      <c r="C1871" t="s">
        <v>155</v>
      </c>
      <c r="D1871" t="s">
        <v>163</v>
      </c>
      <c r="E1871" t="s">
        <v>164</v>
      </c>
      <c r="F1871">
        <v>10000</v>
      </c>
      <c r="G1871" t="s">
        <v>158</v>
      </c>
    </row>
    <row r="1872" spans="1:7" x14ac:dyDescent="0.3">
      <c r="A1872" s="42">
        <v>45927</v>
      </c>
      <c r="B1872" s="43">
        <v>0.45574074074074072</v>
      </c>
      <c r="C1872" t="s">
        <v>155</v>
      </c>
      <c r="D1872" t="s">
        <v>155</v>
      </c>
      <c r="E1872" t="s">
        <v>742</v>
      </c>
      <c r="F1872">
        <v>-1000</v>
      </c>
      <c r="G1872" t="s">
        <v>158</v>
      </c>
    </row>
    <row r="1873" spans="1:7" x14ac:dyDescent="0.3">
      <c r="A1873" s="42">
        <v>45927</v>
      </c>
      <c r="B1873" s="43">
        <v>0.45574074074074072</v>
      </c>
      <c r="C1873" t="s">
        <v>155</v>
      </c>
      <c r="D1873" t="s">
        <v>163</v>
      </c>
      <c r="E1873" t="s">
        <v>166</v>
      </c>
      <c r="F1873">
        <v>-10000</v>
      </c>
      <c r="G1873" t="s">
        <v>61</v>
      </c>
    </row>
    <row r="1874" spans="1:7" x14ac:dyDescent="0.3">
      <c r="A1874" s="42">
        <v>45927</v>
      </c>
      <c r="B1874" s="43">
        <v>0.41688657407407409</v>
      </c>
      <c r="C1874" t="s">
        <v>152</v>
      </c>
      <c r="D1874" t="s">
        <v>36</v>
      </c>
      <c r="E1874" t="s">
        <v>244</v>
      </c>
      <c r="F1874">
        <v>-1850</v>
      </c>
      <c r="G1874" t="s">
        <v>161</v>
      </c>
    </row>
    <row r="1875" spans="1:7" x14ac:dyDescent="0.3">
      <c r="A1875" s="42">
        <v>45927</v>
      </c>
      <c r="B1875" s="43">
        <v>0.41688657407407409</v>
      </c>
      <c r="C1875" t="s">
        <v>152</v>
      </c>
      <c r="D1875" t="s">
        <v>36</v>
      </c>
      <c r="E1875" t="s">
        <v>226</v>
      </c>
      <c r="F1875">
        <v>-3000</v>
      </c>
      <c r="G1875" t="s">
        <v>161</v>
      </c>
    </row>
    <row r="1876" spans="1:7" x14ac:dyDescent="0.3">
      <c r="A1876" s="42">
        <v>45927</v>
      </c>
      <c r="B1876" s="43">
        <v>0.26732638888888888</v>
      </c>
      <c r="C1876" t="s">
        <v>176</v>
      </c>
      <c r="D1876" t="s">
        <v>28</v>
      </c>
      <c r="E1876" t="s">
        <v>241</v>
      </c>
      <c r="F1876">
        <v>0</v>
      </c>
      <c r="G1876" t="s">
        <v>63</v>
      </c>
    </row>
    <row r="1877" spans="1:7" x14ac:dyDescent="0.3">
      <c r="A1877" s="42">
        <v>45927</v>
      </c>
      <c r="B1877" s="43">
        <v>0.1727083333333333</v>
      </c>
      <c r="C1877" t="s">
        <v>176</v>
      </c>
      <c r="D1877" t="s">
        <v>28</v>
      </c>
      <c r="E1877" t="s">
        <v>240</v>
      </c>
      <c r="F1877">
        <v>38</v>
      </c>
      <c r="G1877" t="s">
        <v>67</v>
      </c>
    </row>
    <row r="1878" spans="1:7" x14ac:dyDescent="0.3">
      <c r="A1878" s="42">
        <v>45927</v>
      </c>
      <c r="B1878" s="43">
        <v>0.16494212962962959</v>
      </c>
      <c r="C1878" t="s">
        <v>176</v>
      </c>
      <c r="D1878" t="s">
        <v>28</v>
      </c>
      <c r="E1878" t="s">
        <v>240</v>
      </c>
      <c r="F1878">
        <v>1728</v>
      </c>
      <c r="G1878" t="s">
        <v>67</v>
      </c>
    </row>
    <row r="1879" spans="1:7" x14ac:dyDescent="0.3">
      <c r="A1879" s="42">
        <v>45927</v>
      </c>
      <c r="B1879" s="43">
        <v>9.0717592592592586E-2</v>
      </c>
      <c r="C1879" t="s">
        <v>155</v>
      </c>
      <c r="D1879" t="s">
        <v>217</v>
      </c>
      <c r="E1879" t="s">
        <v>242</v>
      </c>
      <c r="F1879">
        <v>120</v>
      </c>
      <c r="G1879" t="s">
        <v>68</v>
      </c>
    </row>
    <row r="1880" spans="1:7" x14ac:dyDescent="0.3">
      <c r="A1880" s="42">
        <v>45926</v>
      </c>
      <c r="B1880" s="43">
        <v>0.87723379629629628</v>
      </c>
      <c r="C1880" t="s">
        <v>152</v>
      </c>
      <c r="D1880" t="s">
        <v>44</v>
      </c>
      <c r="E1880" t="s">
        <v>190</v>
      </c>
      <c r="F1880">
        <v>-12560</v>
      </c>
      <c r="G1880" t="s">
        <v>154</v>
      </c>
    </row>
    <row r="1881" spans="1:7" x14ac:dyDescent="0.3">
      <c r="A1881" s="42">
        <v>45926</v>
      </c>
      <c r="B1881" s="43">
        <v>0.87663194444444448</v>
      </c>
      <c r="C1881" t="s">
        <v>152</v>
      </c>
      <c r="D1881" t="s">
        <v>44</v>
      </c>
      <c r="E1881" t="s">
        <v>190</v>
      </c>
      <c r="F1881">
        <v>-17900</v>
      </c>
      <c r="G1881" t="s">
        <v>154</v>
      </c>
    </row>
    <row r="1882" spans="1:7" x14ac:dyDescent="0.3">
      <c r="A1882" s="42">
        <v>45926</v>
      </c>
      <c r="B1882" s="43">
        <v>0.8689930555555555</v>
      </c>
      <c r="C1882" t="s">
        <v>152</v>
      </c>
      <c r="D1882" t="s">
        <v>40</v>
      </c>
      <c r="E1882" t="s">
        <v>409</v>
      </c>
      <c r="F1882">
        <v>-7500</v>
      </c>
      <c r="G1882" t="s">
        <v>266</v>
      </c>
    </row>
    <row r="1883" spans="1:7" x14ac:dyDescent="0.3">
      <c r="A1883" s="42">
        <v>45926</v>
      </c>
      <c r="B1883" s="43">
        <v>0.79228009259259258</v>
      </c>
      <c r="C1883" t="s">
        <v>155</v>
      </c>
      <c r="D1883" t="s">
        <v>155</v>
      </c>
      <c r="E1883" t="s">
        <v>166</v>
      </c>
      <c r="F1883">
        <v>-100000</v>
      </c>
      <c r="G1883" t="s">
        <v>61</v>
      </c>
    </row>
    <row r="1884" spans="1:7" x14ac:dyDescent="0.3">
      <c r="A1884" s="42">
        <v>45926</v>
      </c>
      <c r="B1884" s="43">
        <v>0.65945601851851854</v>
      </c>
      <c r="C1884" t="s">
        <v>152</v>
      </c>
      <c r="D1884" t="s">
        <v>46</v>
      </c>
      <c r="E1884" t="s">
        <v>743</v>
      </c>
      <c r="F1884">
        <v>-47880</v>
      </c>
      <c r="G1884" t="s">
        <v>182</v>
      </c>
    </row>
    <row r="1885" spans="1:7" x14ac:dyDescent="0.3">
      <c r="A1885" s="42">
        <v>45926</v>
      </c>
      <c r="B1885" s="43">
        <v>0.42356481481481478</v>
      </c>
      <c r="C1885" t="s">
        <v>152</v>
      </c>
      <c r="D1885" t="s">
        <v>36</v>
      </c>
      <c r="E1885" t="s">
        <v>243</v>
      </c>
      <c r="F1885">
        <v>-1500</v>
      </c>
      <c r="G1885" t="s">
        <v>161</v>
      </c>
    </row>
    <row r="1886" spans="1:7" x14ac:dyDescent="0.3">
      <c r="A1886" s="42">
        <v>45926</v>
      </c>
      <c r="B1886" s="43">
        <v>0.42356481481481478</v>
      </c>
      <c r="C1886" t="s">
        <v>152</v>
      </c>
      <c r="D1886" t="s">
        <v>36</v>
      </c>
      <c r="E1886" t="s">
        <v>225</v>
      </c>
      <c r="F1886">
        <v>-2890</v>
      </c>
      <c r="G1886" t="s">
        <v>161</v>
      </c>
    </row>
    <row r="1887" spans="1:7" x14ac:dyDescent="0.3">
      <c r="A1887" s="42">
        <v>45926</v>
      </c>
      <c r="B1887" s="43">
        <v>0.32041666666666668</v>
      </c>
      <c r="C1887" t="s">
        <v>152</v>
      </c>
      <c r="D1887" t="s">
        <v>44</v>
      </c>
      <c r="E1887" t="s">
        <v>536</v>
      </c>
      <c r="F1887">
        <v>-20376</v>
      </c>
      <c r="G1887" t="s">
        <v>154</v>
      </c>
    </row>
    <row r="1888" spans="1:7" x14ac:dyDescent="0.3">
      <c r="A1888" s="42">
        <v>45925</v>
      </c>
      <c r="B1888" s="43">
        <v>0.84805555555555556</v>
      </c>
      <c r="C1888" t="s">
        <v>152</v>
      </c>
      <c r="D1888" t="s">
        <v>37</v>
      </c>
      <c r="E1888" t="s">
        <v>744</v>
      </c>
      <c r="F1888">
        <v>-20000</v>
      </c>
      <c r="G1888" t="s">
        <v>61</v>
      </c>
    </row>
    <row r="1889" spans="1:7" x14ac:dyDescent="0.3">
      <c r="A1889" s="42">
        <v>45925</v>
      </c>
      <c r="B1889" s="43">
        <v>0.81017361111111108</v>
      </c>
      <c r="C1889" t="s">
        <v>152</v>
      </c>
      <c r="D1889" t="s">
        <v>37</v>
      </c>
      <c r="E1889" t="s">
        <v>745</v>
      </c>
      <c r="F1889">
        <v>-153079</v>
      </c>
      <c r="G1889" t="s">
        <v>60</v>
      </c>
    </row>
    <row r="1890" spans="1:7" x14ac:dyDescent="0.3">
      <c r="A1890" s="42">
        <v>45925</v>
      </c>
      <c r="B1890" s="43">
        <v>0.80834490740740739</v>
      </c>
      <c r="C1890" t="s">
        <v>152</v>
      </c>
      <c r="D1890" t="s">
        <v>40</v>
      </c>
      <c r="E1890" t="s">
        <v>746</v>
      </c>
      <c r="F1890">
        <v>-258304</v>
      </c>
      <c r="G1890" t="s">
        <v>61</v>
      </c>
    </row>
    <row r="1891" spans="1:7" x14ac:dyDescent="0.3">
      <c r="A1891" s="42">
        <v>45925</v>
      </c>
      <c r="B1891" s="43">
        <v>0.77557870370370374</v>
      </c>
      <c r="C1891" t="s">
        <v>152</v>
      </c>
      <c r="D1891" t="s">
        <v>42</v>
      </c>
      <c r="E1891" t="s">
        <v>747</v>
      </c>
      <c r="F1891">
        <v>-10000</v>
      </c>
      <c r="G1891" t="s">
        <v>266</v>
      </c>
    </row>
    <row r="1892" spans="1:7" x14ac:dyDescent="0.3">
      <c r="A1892" s="42">
        <v>45925</v>
      </c>
      <c r="B1892" s="43">
        <v>0.77287037037037032</v>
      </c>
      <c r="C1892" t="s">
        <v>152</v>
      </c>
      <c r="D1892" t="s">
        <v>45</v>
      </c>
      <c r="E1892" t="s">
        <v>748</v>
      </c>
      <c r="F1892">
        <v>-5000</v>
      </c>
      <c r="G1892" t="s">
        <v>266</v>
      </c>
    </row>
    <row r="1893" spans="1:7" x14ac:dyDescent="0.3">
      <c r="A1893" s="42">
        <v>45925</v>
      </c>
      <c r="B1893" s="43">
        <v>0.66423611111111114</v>
      </c>
      <c r="C1893" t="s">
        <v>152</v>
      </c>
      <c r="D1893" t="s">
        <v>50</v>
      </c>
      <c r="E1893" t="s">
        <v>184</v>
      </c>
      <c r="F1893">
        <v>-5900</v>
      </c>
      <c r="G1893" t="s">
        <v>266</v>
      </c>
    </row>
    <row r="1894" spans="1:7" x14ac:dyDescent="0.3">
      <c r="A1894" s="42">
        <v>45925</v>
      </c>
      <c r="B1894" s="43">
        <v>0.58313657407407404</v>
      </c>
      <c r="C1894" t="s">
        <v>152</v>
      </c>
      <c r="D1894" t="s">
        <v>40</v>
      </c>
      <c r="E1894" t="s">
        <v>455</v>
      </c>
      <c r="F1894">
        <v>-3500</v>
      </c>
      <c r="G1894" t="s">
        <v>266</v>
      </c>
    </row>
    <row r="1895" spans="1:7" x14ac:dyDescent="0.3">
      <c r="A1895" s="42">
        <v>45925</v>
      </c>
      <c r="B1895" s="43">
        <v>0.43701388888888892</v>
      </c>
      <c r="C1895" t="s">
        <v>152</v>
      </c>
      <c r="D1895" t="s">
        <v>36</v>
      </c>
      <c r="E1895" t="s">
        <v>244</v>
      </c>
      <c r="F1895">
        <v>-500</v>
      </c>
      <c r="G1895" t="s">
        <v>161</v>
      </c>
    </row>
    <row r="1896" spans="1:7" x14ac:dyDescent="0.3">
      <c r="A1896" s="42">
        <v>45925</v>
      </c>
      <c r="B1896" s="43">
        <v>0.43700231481481477</v>
      </c>
      <c r="C1896" t="s">
        <v>152</v>
      </c>
      <c r="D1896" t="s">
        <v>36</v>
      </c>
      <c r="E1896" t="s">
        <v>226</v>
      </c>
      <c r="F1896">
        <v>-3000</v>
      </c>
      <c r="G1896" t="s">
        <v>161</v>
      </c>
    </row>
    <row r="1897" spans="1:7" x14ac:dyDescent="0.3">
      <c r="A1897" s="42">
        <v>45925</v>
      </c>
      <c r="B1897" s="43">
        <v>0.40356481481481482</v>
      </c>
      <c r="C1897" t="s">
        <v>152</v>
      </c>
      <c r="D1897" t="s">
        <v>44</v>
      </c>
      <c r="E1897" t="s">
        <v>430</v>
      </c>
      <c r="F1897">
        <v>-19100</v>
      </c>
      <c r="G1897" t="s">
        <v>266</v>
      </c>
    </row>
    <row r="1898" spans="1:7" x14ac:dyDescent="0.3">
      <c r="A1898" s="42">
        <v>45925</v>
      </c>
      <c r="B1898" s="43">
        <v>0.29215277777777782</v>
      </c>
      <c r="C1898" t="s">
        <v>152</v>
      </c>
      <c r="D1898" t="s">
        <v>49</v>
      </c>
      <c r="E1898" t="s">
        <v>469</v>
      </c>
      <c r="F1898">
        <v>-2600</v>
      </c>
      <c r="G1898" t="s">
        <v>266</v>
      </c>
    </row>
    <row r="1899" spans="1:7" x14ac:dyDescent="0.3">
      <c r="A1899" s="42">
        <v>45925</v>
      </c>
      <c r="B1899" s="43">
        <v>6.2997685185185184E-2</v>
      </c>
      <c r="C1899" t="s">
        <v>155</v>
      </c>
      <c r="D1899" t="s">
        <v>217</v>
      </c>
      <c r="E1899" t="s">
        <v>603</v>
      </c>
      <c r="F1899">
        <v>100000</v>
      </c>
      <c r="G1899" t="s">
        <v>64</v>
      </c>
    </row>
    <row r="1900" spans="1:7" x14ac:dyDescent="0.3">
      <c r="A1900" s="42">
        <v>45925</v>
      </c>
      <c r="B1900" s="43">
        <v>4.884259259259259E-2</v>
      </c>
      <c r="C1900" t="s">
        <v>176</v>
      </c>
      <c r="D1900" t="s">
        <v>29</v>
      </c>
      <c r="E1900" t="s">
        <v>509</v>
      </c>
      <c r="F1900">
        <v>500000</v>
      </c>
      <c r="G1900" t="s">
        <v>64</v>
      </c>
    </row>
    <row r="1901" spans="1:7" x14ac:dyDescent="0.3">
      <c r="A1901" s="42">
        <v>45925</v>
      </c>
      <c r="B1901" s="43">
        <v>0</v>
      </c>
      <c r="C1901" t="s">
        <v>152</v>
      </c>
      <c r="D1901" t="s">
        <v>44</v>
      </c>
      <c r="E1901" t="s">
        <v>190</v>
      </c>
      <c r="F1901">
        <v>25800</v>
      </c>
      <c r="G1901" t="s">
        <v>154</v>
      </c>
    </row>
    <row r="1902" spans="1:7" x14ac:dyDescent="0.3">
      <c r="A1902" s="42">
        <v>45924</v>
      </c>
      <c r="B1902" s="43">
        <v>0.59561342592592592</v>
      </c>
      <c r="C1902" t="s">
        <v>152</v>
      </c>
      <c r="D1902" t="s">
        <v>49</v>
      </c>
      <c r="E1902" t="s">
        <v>749</v>
      </c>
      <c r="F1902">
        <v>-12923</v>
      </c>
      <c r="G1902" t="s">
        <v>199</v>
      </c>
    </row>
    <row r="1903" spans="1:7" x14ac:dyDescent="0.3">
      <c r="A1903" s="42">
        <v>45924</v>
      </c>
      <c r="B1903" s="43">
        <v>0.59561342592592592</v>
      </c>
      <c r="C1903" t="s">
        <v>152</v>
      </c>
      <c r="D1903" t="s">
        <v>49</v>
      </c>
      <c r="E1903" t="s">
        <v>749</v>
      </c>
      <c r="F1903">
        <v>-31077</v>
      </c>
      <c r="G1903" t="s">
        <v>182</v>
      </c>
    </row>
    <row r="1904" spans="1:7" x14ac:dyDescent="0.3">
      <c r="A1904" s="42">
        <v>45924</v>
      </c>
      <c r="B1904" s="43">
        <v>0.54281250000000003</v>
      </c>
      <c r="C1904" t="s">
        <v>152</v>
      </c>
      <c r="D1904" t="s">
        <v>49</v>
      </c>
      <c r="E1904" t="s">
        <v>750</v>
      </c>
      <c r="F1904">
        <v>-1800</v>
      </c>
      <c r="G1904" t="s">
        <v>266</v>
      </c>
    </row>
    <row r="1905" spans="1:7" x14ac:dyDescent="0.3">
      <c r="A1905" s="42">
        <v>45924</v>
      </c>
      <c r="B1905" s="43">
        <v>0.52252314814814815</v>
      </c>
      <c r="C1905" t="s">
        <v>152</v>
      </c>
      <c r="D1905" t="s">
        <v>42</v>
      </c>
      <c r="E1905" t="s">
        <v>751</v>
      </c>
      <c r="F1905">
        <v>-12000</v>
      </c>
      <c r="G1905" t="s">
        <v>266</v>
      </c>
    </row>
    <row r="1906" spans="1:7" x14ac:dyDescent="0.3">
      <c r="A1906" s="42">
        <v>45924</v>
      </c>
      <c r="B1906" s="43">
        <v>4.2372685185185187E-2</v>
      </c>
      <c r="C1906" t="s">
        <v>152</v>
      </c>
      <c r="D1906" t="s">
        <v>48</v>
      </c>
      <c r="E1906" t="s">
        <v>251</v>
      </c>
      <c r="F1906">
        <v>-300</v>
      </c>
      <c r="G1906" t="s">
        <v>154</v>
      </c>
    </row>
    <row r="1907" spans="1:7" x14ac:dyDescent="0.3">
      <c r="A1907" s="42">
        <v>45923</v>
      </c>
      <c r="B1907" s="43">
        <v>0.82771990740740742</v>
      </c>
      <c r="C1907" t="s">
        <v>152</v>
      </c>
      <c r="D1907" t="s">
        <v>37</v>
      </c>
      <c r="E1907" t="s">
        <v>752</v>
      </c>
      <c r="F1907">
        <v>-16900</v>
      </c>
      <c r="G1907" t="s">
        <v>60</v>
      </c>
    </row>
    <row r="1908" spans="1:7" x14ac:dyDescent="0.3">
      <c r="A1908" s="42">
        <v>45923</v>
      </c>
      <c r="B1908" s="43">
        <v>0.8165972222222222</v>
      </c>
      <c r="C1908" t="s">
        <v>152</v>
      </c>
      <c r="D1908" t="s">
        <v>37</v>
      </c>
      <c r="E1908" t="s">
        <v>753</v>
      </c>
      <c r="F1908">
        <v>-12555</v>
      </c>
      <c r="G1908" t="s">
        <v>61</v>
      </c>
    </row>
    <row r="1909" spans="1:7" x14ac:dyDescent="0.3">
      <c r="A1909" s="42">
        <v>45923</v>
      </c>
      <c r="B1909" s="43">
        <v>0.76037037037037036</v>
      </c>
      <c r="C1909" t="s">
        <v>152</v>
      </c>
      <c r="D1909" t="s">
        <v>37</v>
      </c>
      <c r="E1909" t="s">
        <v>256</v>
      </c>
      <c r="F1909">
        <v>-409213</v>
      </c>
      <c r="G1909" t="s">
        <v>67</v>
      </c>
    </row>
    <row r="1910" spans="1:7" x14ac:dyDescent="0.3">
      <c r="A1910" s="42">
        <v>45923</v>
      </c>
      <c r="B1910" s="43">
        <v>0.71261574074074074</v>
      </c>
      <c r="C1910" t="s">
        <v>152</v>
      </c>
      <c r="D1910" t="s">
        <v>42</v>
      </c>
      <c r="E1910" t="s">
        <v>754</v>
      </c>
      <c r="F1910">
        <v>-3000</v>
      </c>
      <c r="G1910" t="s">
        <v>199</v>
      </c>
    </row>
    <row r="1911" spans="1:7" x14ac:dyDescent="0.3">
      <c r="A1911" s="42">
        <v>45923</v>
      </c>
      <c r="B1911" s="43">
        <v>0.63398148148148148</v>
      </c>
      <c r="C1911" t="s">
        <v>155</v>
      </c>
      <c r="D1911" t="s">
        <v>163</v>
      </c>
      <c r="E1911" t="s">
        <v>7</v>
      </c>
      <c r="F1911">
        <v>260000</v>
      </c>
      <c r="G1911" t="s">
        <v>61</v>
      </c>
    </row>
    <row r="1912" spans="1:7" x14ac:dyDescent="0.3">
      <c r="A1912" s="42">
        <v>45923</v>
      </c>
      <c r="B1912" s="43">
        <v>0.62516203703703699</v>
      </c>
      <c r="C1912" t="s">
        <v>152</v>
      </c>
      <c r="D1912" t="s">
        <v>49</v>
      </c>
      <c r="E1912" t="s">
        <v>755</v>
      </c>
      <c r="F1912">
        <v>-18700</v>
      </c>
      <c r="G1912" t="s">
        <v>266</v>
      </c>
    </row>
    <row r="1913" spans="1:7" x14ac:dyDescent="0.3">
      <c r="A1913" s="42">
        <v>45923</v>
      </c>
      <c r="B1913" s="43">
        <v>0.58472222222222225</v>
      </c>
      <c r="C1913" t="s">
        <v>152</v>
      </c>
      <c r="D1913" t="s">
        <v>49</v>
      </c>
      <c r="E1913" t="s">
        <v>288</v>
      </c>
      <c r="F1913">
        <v>-2720</v>
      </c>
      <c r="G1913" t="s">
        <v>154</v>
      </c>
    </row>
    <row r="1914" spans="1:7" x14ac:dyDescent="0.3">
      <c r="A1914" s="42">
        <v>45923</v>
      </c>
      <c r="B1914" s="43">
        <v>0.50834490740740745</v>
      </c>
      <c r="C1914" t="s">
        <v>152</v>
      </c>
      <c r="D1914" t="s">
        <v>42</v>
      </c>
      <c r="E1914" t="s">
        <v>756</v>
      </c>
      <c r="F1914">
        <v>-73000</v>
      </c>
      <c r="G1914" t="s">
        <v>266</v>
      </c>
    </row>
    <row r="1915" spans="1:7" x14ac:dyDescent="0.3">
      <c r="A1915" s="42">
        <v>45923</v>
      </c>
      <c r="B1915" s="43">
        <v>0.47435185185185191</v>
      </c>
      <c r="C1915" t="s">
        <v>155</v>
      </c>
      <c r="D1915" t="s">
        <v>163</v>
      </c>
      <c r="E1915" t="s">
        <v>223</v>
      </c>
      <c r="F1915">
        <v>658</v>
      </c>
      <c r="G1915" t="s">
        <v>68</v>
      </c>
    </row>
    <row r="1916" spans="1:7" x14ac:dyDescent="0.3">
      <c r="A1916" s="42">
        <v>45923</v>
      </c>
      <c r="B1916" s="43">
        <v>0.47435185185185191</v>
      </c>
      <c r="C1916" t="s">
        <v>155</v>
      </c>
      <c r="D1916" t="s">
        <v>163</v>
      </c>
      <c r="E1916" t="s">
        <v>68</v>
      </c>
      <c r="F1916">
        <v>-658</v>
      </c>
      <c r="G1916" t="s">
        <v>67</v>
      </c>
    </row>
    <row r="1917" spans="1:7" x14ac:dyDescent="0.3">
      <c r="A1917" s="42">
        <v>45923</v>
      </c>
      <c r="B1917" s="43">
        <v>0.41215277777777781</v>
      </c>
      <c r="C1917" t="s">
        <v>152</v>
      </c>
      <c r="D1917" t="s">
        <v>49</v>
      </c>
      <c r="E1917" t="s">
        <v>288</v>
      </c>
      <c r="F1917">
        <v>-3290</v>
      </c>
      <c r="G1917" t="s">
        <v>266</v>
      </c>
    </row>
    <row r="1918" spans="1:7" x14ac:dyDescent="0.3">
      <c r="A1918" s="42">
        <v>45923</v>
      </c>
      <c r="B1918" s="43">
        <v>0.39648148148148149</v>
      </c>
      <c r="C1918" t="s">
        <v>152</v>
      </c>
      <c r="D1918" t="s">
        <v>45</v>
      </c>
      <c r="E1918" t="s">
        <v>757</v>
      </c>
      <c r="F1918">
        <v>-120000</v>
      </c>
      <c r="G1918" t="s">
        <v>266</v>
      </c>
    </row>
    <row r="1919" spans="1:7" x14ac:dyDescent="0.3">
      <c r="A1919" s="42">
        <v>45923</v>
      </c>
      <c r="B1919" s="43">
        <v>0.3858449074074074</v>
      </c>
      <c r="C1919" t="s">
        <v>152</v>
      </c>
      <c r="D1919" t="s">
        <v>44</v>
      </c>
      <c r="E1919" t="s">
        <v>190</v>
      </c>
      <c r="F1919">
        <v>-18960</v>
      </c>
      <c r="G1919" t="s">
        <v>154</v>
      </c>
    </row>
    <row r="1920" spans="1:7" x14ac:dyDescent="0.3">
      <c r="A1920" s="42">
        <v>45922</v>
      </c>
      <c r="B1920" s="43">
        <v>0.62366898148148153</v>
      </c>
      <c r="C1920" t="s">
        <v>152</v>
      </c>
      <c r="D1920" t="s">
        <v>42</v>
      </c>
      <c r="E1920" t="s">
        <v>492</v>
      </c>
      <c r="F1920">
        <v>-48060</v>
      </c>
      <c r="G1920" t="s">
        <v>266</v>
      </c>
    </row>
    <row r="1921" spans="1:7" x14ac:dyDescent="0.3">
      <c r="A1921" s="42">
        <v>45922</v>
      </c>
      <c r="B1921" s="43">
        <v>0.52171296296296299</v>
      </c>
      <c r="C1921" t="s">
        <v>152</v>
      </c>
      <c r="D1921" t="s">
        <v>37</v>
      </c>
      <c r="E1921" t="s">
        <v>498</v>
      </c>
      <c r="F1921">
        <v>-99000</v>
      </c>
      <c r="G1921" t="s">
        <v>266</v>
      </c>
    </row>
    <row r="1922" spans="1:7" x14ac:dyDescent="0.3">
      <c r="A1922" s="42">
        <v>45922</v>
      </c>
      <c r="B1922" s="43">
        <v>0.42575231481481479</v>
      </c>
      <c r="C1922" t="s">
        <v>152</v>
      </c>
      <c r="D1922" t="s">
        <v>36</v>
      </c>
      <c r="E1922" t="s">
        <v>243</v>
      </c>
      <c r="F1922">
        <v>-100</v>
      </c>
      <c r="G1922" t="s">
        <v>161</v>
      </c>
    </row>
    <row r="1923" spans="1:7" x14ac:dyDescent="0.3">
      <c r="A1923" s="42">
        <v>45922</v>
      </c>
      <c r="B1923" s="43">
        <v>0.42575231481481479</v>
      </c>
      <c r="C1923" t="s">
        <v>152</v>
      </c>
      <c r="D1923" t="s">
        <v>36</v>
      </c>
      <c r="E1923" t="s">
        <v>225</v>
      </c>
      <c r="F1923">
        <v>-3200</v>
      </c>
      <c r="G1923" t="s">
        <v>161</v>
      </c>
    </row>
    <row r="1924" spans="1:7" x14ac:dyDescent="0.3">
      <c r="A1924" s="42">
        <v>45922</v>
      </c>
      <c r="B1924" s="43">
        <v>0.36517361111111107</v>
      </c>
      <c r="C1924" t="s">
        <v>152</v>
      </c>
      <c r="D1924" t="s">
        <v>37</v>
      </c>
      <c r="E1924" t="s">
        <v>366</v>
      </c>
      <c r="F1924">
        <v>-226342</v>
      </c>
      <c r="G1924" t="s">
        <v>67</v>
      </c>
    </row>
    <row r="1925" spans="1:7" x14ac:dyDescent="0.3">
      <c r="A1925" s="42">
        <v>45922</v>
      </c>
      <c r="B1925" s="43">
        <v>0</v>
      </c>
      <c r="C1925" t="s">
        <v>152</v>
      </c>
      <c r="D1925" t="s">
        <v>44</v>
      </c>
      <c r="E1925" t="s">
        <v>647</v>
      </c>
      <c r="F1925">
        <v>2950</v>
      </c>
      <c r="G1925" t="s">
        <v>154</v>
      </c>
    </row>
    <row r="1926" spans="1:7" x14ac:dyDescent="0.3">
      <c r="A1926" s="42">
        <v>45921</v>
      </c>
      <c r="B1926" s="43">
        <v>0.74755787037037036</v>
      </c>
      <c r="C1926" t="s">
        <v>152</v>
      </c>
      <c r="D1926" t="s">
        <v>44</v>
      </c>
      <c r="E1926" t="s">
        <v>190</v>
      </c>
      <c r="F1926">
        <v>-25800</v>
      </c>
      <c r="G1926" t="s">
        <v>154</v>
      </c>
    </row>
    <row r="1927" spans="1:7" x14ac:dyDescent="0.3">
      <c r="A1927" s="42">
        <v>45921</v>
      </c>
      <c r="B1927" s="43">
        <v>0.71567129629629633</v>
      </c>
      <c r="C1927" t="s">
        <v>152</v>
      </c>
      <c r="D1927" t="s">
        <v>38</v>
      </c>
      <c r="E1927" t="s">
        <v>441</v>
      </c>
      <c r="F1927">
        <v>-10200</v>
      </c>
      <c r="G1927" t="s">
        <v>266</v>
      </c>
    </row>
    <row r="1928" spans="1:7" x14ac:dyDescent="0.3">
      <c r="A1928" s="42">
        <v>45921</v>
      </c>
      <c r="B1928" s="43">
        <v>0.47789351851851852</v>
      </c>
      <c r="C1928" t="s">
        <v>152</v>
      </c>
      <c r="D1928" t="s">
        <v>37</v>
      </c>
      <c r="E1928" t="s">
        <v>758</v>
      </c>
      <c r="F1928">
        <v>-20000000</v>
      </c>
      <c r="G1928" t="s">
        <v>66</v>
      </c>
    </row>
    <row r="1929" spans="1:7" x14ac:dyDescent="0.3">
      <c r="A1929" s="42">
        <v>45921</v>
      </c>
      <c r="B1929" s="43">
        <v>0.41719907407407408</v>
      </c>
      <c r="C1929" t="s">
        <v>152</v>
      </c>
      <c r="D1929" t="s">
        <v>36</v>
      </c>
      <c r="E1929" t="s">
        <v>244</v>
      </c>
      <c r="F1929">
        <v>-500</v>
      </c>
      <c r="G1929" t="s">
        <v>161</v>
      </c>
    </row>
    <row r="1930" spans="1:7" x14ac:dyDescent="0.3">
      <c r="A1930" s="42">
        <v>45921</v>
      </c>
      <c r="B1930" s="43">
        <v>0.41719907407407408</v>
      </c>
      <c r="C1930" t="s">
        <v>152</v>
      </c>
      <c r="D1930" t="s">
        <v>36</v>
      </c>
      <c r="E1930" t="s">
        <v>226</v>
      </c>
      <c r="F1930">
        <v>-3000</v>
      </c>
      <c r="G1930" t="s">
        <v>161</v>
      </c>
    </row>
    <row r="1931" spans="1:7" x14ac:dyDescent="0.3">
      <c r="A1931" s="42">
        <v>45920</v>
      </c>
      <c r="B1931" s="43">
        <v>0.85769675925925926</v>
      </c>
      <c r="C1931" t="s">
        <v>152</v>
      </c>
      <c r="D1931" t="s">
        <v>37</v>
      </c>
      <c r="E1931" t="s">
        <v>498</v>
      </c>
      <c r="F1931">
        <v>-14300</v>
      </c>
      <c r="G1931" t="s">
        <v>266</v>
      </c>
    </row>
    <row r="1932" spans="1:7" x14ac:dyDescent="0.3">
      <c r="A1932" s="42">
        <v>45920</v>
      </c>
      <c r="B1932" s="43">
        <v>0.60115740740740742</v>
      </c>
      <c r="C1932" t="s">
        <v>152</v>
      </c>
      <c r="D1932" t="s">
        <v>47</v>
      </c>
      <c r="E1932" t="s">
        <v>759</v>
      </c>
      <c r="F1932">
        <v>-800</v>
      </c>
      <c r="G1932" t="s">
        <v>266</v>
      </c>
    </row>
    <row r="1933" spans="1:7" x14ac:dyDescent="0.3">
      <c r="A1933" s="42">
        <v>45920</v>
      </c>
      <c r="B1933" s="43">
        <v>0.56865740740740744</v>
      </c>
      <c r="C1933" t="s">
        <v>152</v>
      </c>
      <c r="D1933" t="s">
        <v>42</v>
      </c>
      <c r="E1933" t="s">
        <v>760</v>
      </c>
      <c r="F1933">
        <v>-33000</v>
      </c>
      <c r="G1933" t="s">
        <v>266</v>
      </c>
    </row>
    <row r="1934" spans="1:7" x14ac:dyDescent="0.3">
      <c r="A1934" s="42">
        <v>45920</v>
      </c>
      <c r="B1934" s="43">
        <v>0.54591435185185189</v>
      </c>
      <c r="C1934" t="s">
        <v>152</v>
      </c>
      <c r="D1934" t="s">
        <v>44</v>
      </c>
      <c r="E1934" t="s">
        <v>647</v>
      </c>
      <c r="F1934">
        <v>-2950</v>
      </c>
      <c r="G1934" t="s">
        <v>154</v>
      </c>
    </row>
    <row r="1935" spans="1:7" x14ac:dyDescent="0.3">
      <c r="A1935" s="42">
        <v>45920</v>
      </c>
      <c r="B1935" s="43">
        <v>0.48295138888888889</v>
      </c>
      <c r="C1935" t="s">
        <v>152</v>
      </c>
      <c r="D1935" t="s">
        <v>38</v>
      </c>
      <c r="E1935" t="s">
        <v>761</v>
      </c>
      <c r="F1935">
        <v>-20000</v>
      </c>
      <c r="G1935" t="s">
        <v>266</v>
      </c>
    </row>
    <row r="1936" spans="1:7" x14ac:dyDescent="0.3">
      <c r="A1936" s="42">
        <v>45920</v>
      </c>
      <c r="B1936" s="43">
        <v>0.47005787037037039</v>
      </c>
      <c r="C1936" t="s">
        <v>152</v>
      </c>
      <c r="D1936" t="s">
        <v>44</v>
      </c>
      <c r="E1936" t="s">
        <v>610</v>
      </c>
      <c r="F1936">
        <v>-3000</v>
      </c>
      <c r="G1936" t="s">
        <v>266</v>
      </c>
    </row>
    <row r="1937" spans="1:7" x14ac:dyDescent="0.3">
      <c r="A1937" s="42">
        <v>45920</v>
      </c>
      <c r="B1937" s="43">
        <v>0.43412037037037038</v>
      </c>
      <c r="C1937" t="s">
        <v>152</v>
      </c>
      <c r="D1937" t="s">
        <v>42</v>
      </c>
      <c r="E1937" t="s">
        <v>762</v>
      </c>
      <c r="F1937">
        <v>-32760</v>
      </c>
      <c r="G1937" t="s">
        <v>182</v>
      </c>
    </row>
    <row r="1938" spans="1:7" x14ac:dyDescent="0.3">
      <c r="A1938" s="42">
        <v>45920</v>
      </c>
      <c r="B1938" s="43">
        <v>0.42890046296296302</v>
      </c>
      <c r="C1938" t="s">
        <v>176</v>
      </c>
      <c r="D1938" t="s">
        <v>28</v>
      </c>
      <c r="E1938" t="s">
        <v>273</v>
      </c>
      <c r="F1938">
        <v>1340</v>
      </c>
      <c r="G1938" t="s">
        <v>66</v>
      </c>
    </row>
    <row r="1939" spans="1:7" x14ac:dyDescent="0.3">
      <c r="A1939" s="42">
        <v>45920</v>
      </c>
      <c r="B1939" s="43">
        <v>0.41621527777777778</v>
      </c>
      <c r="C1939" t="s">
        <v>152</v>
      </c>
      <c r="D1939" t="s">
        <v>36</v>
      </c>
      <c r="E1939" t="s">
        <v>226</v>
      </c>
      <c r="F1939">
        <v>-3000</v>
      </c>
      <c r="G1939" t="s">
        <v>161</v>
      </c>
    </row>
    <row r="1940" spans="1:7" x14ac:dyDescent="0.3">
      <c r="A1940" s="42">
        <v>45920</v>
      </c>
      <c r="B1940" s="43">
        <v>0.41621527777777778</v>
      </c>
      <c r="C1940" t="s">
        <v>152</v>
      </c>
      <c r="D1940" t="s">
        <v>36</v>
      </c>
      <c r="E1940" t="s">
        <v>365</v>
      </c>
      <c r="F1940">
        <v>-4000</v>
      </c>
      <c r="G1940" t="s">
        <v>161</v>
      </c>
    </row>
    <row r="1941" spans="1:7" x14ac:dyDescent="0.3">
      <c r="A1941" s="42">
        <v>45920</v>
      </c>
      <c r="B1941" s="43">
        <v>0</v>
      </c>
      <c r="C1941" t="s">
        <v>152</v>
      </c>
      <c r="D1941" t="s">
        <v>37</v>
      </c>
      <c r="E1941" t="s">
        <v>498</v>
      </c>
      <c r="F1941">
        <v>16400</v>
      </c>
      <c r="G1941" t="s">
        <v>266</v>
      </c>
    </row>
    <row r="1942" spans="1:7" x14ac:dyDescent="0.3">
      <c r="A1942" s="42">
        <v>45919</v>
      </c>
      <c r="B1942" s="43">
        <v>0.93920138888888893</v>
      </c>
      <c r="C1942" t="s">
        <v>152</v>
      </c>
      <c r="D1942" t="s">
        <v>40</v>
      </c>
      <c r="E1942" t="s">
        <v>409</v>
      </c>
      <c r="F1942">
        <v>-19300</v>
      </c>
      <c r="G1942" t="s">
        <v>266</v>
      </c>
    </row>
    <row r="1943" spans="1:7" x14ac:dyDescent="0.3">
      <c r="A1943" s="42">
        <v>45919</v>
      </c>
      <c r="B1943" s="43">
        <v>0.68967592592592597</v>
      </c>
      <c r="C1943" t="s">
        <v>152</v>
      </c>
      <c r="D1943" t="s">
        <v>36</v>
      </c>
      <c r="E1943" t="s">
        <v>250</v>
      </c>
      <c r="F1943">
        <v>-16700</v>
      </c>
      <c r="G1943" t="s">
        <v>266</v>
      </c>
    </row>
    <row r="1944" spans="1:7" x14ac:dyDescent="0.3">
      <c r="A1944" s="42">
        <v>45919</v>
      </c>
      <c r="B1944" s="43">
        <v>0.6517708333333333</v>
      </c>
      <c r="C1944" t="s">
        <v>152</v>
      </c>
      <c r="D1944" t="s">
        <v>40</v>
      </c>
      <c r="E1944" t="s">
        <v>248</v>
      </c>
      <c r="F1944">
        <v>-3900</v>
      </c>
      <c r="G1944" t="s">
        <v>266</v>
      </c>
    </row>
    <row r="1945" spans="1:7" x14ac:dyDescent="0.3">
      <c r="A1945" s="42">
        <v>45919</v>
      </c>
      <c r="B1945" s="43">
        <v>0.62646990740740738</v>
      </c>
      <c r="C1945" t="s">
        <v>152</v>
      </c>
      <c r="D1945" t="s">
        <v>44</v>
      </c>
      <c r="E1945" t="s">
        <v>190</v>
      </c>
      <c r="F1945">
        <v>-18240</v>
      </c>
      <c r="G1945" t="s">
        <v>154</v>
      </c>
    </row>
    <row r="1946" spans="1:7" x14ac:dyDescent="0.3">
      <c r="A1946" s="42">
        <v>45919</v>
      </c>
      <c r="B1946" s="43">
        <v>0.59600694444444446</v>
      </c>
      <c r="C1946" t="s">
        <v>152</v>
      </c>
      <c r="D1946" t="s">
        <v>40</v>
      </c>
      <c r="E1946" t="s">
        <v>455</v>
      </c>
      <c r="F1946">
        <v>-3000</v>
      </c>
      <c r="G1946" t="s">
        <v>266</v>
      </c>
    </row>
    <row r="1947" spans="1:7" x14ac:dyDescent="0.3">
      <c r="A1947" s="42">
        <v>45919</v>
      </c>
      <c r="B1947" s="43">
        <v>0.59188657407407408</v>
      </c>
      <c r="C1947" t="s">
        <v>152</v>
      </c>
      <c r="D1947" t="s">
        <v>44</v>
      </c>
      <c r="E1947" t="s">
        <v>430</v>
      </c>
      <c r="F1947">
        <v>-144980</v>
      </c>
      <c r="G1947" t="s">
        <v>266</v>
      </c>
    </row>
    <row r="1948" spans="1:7" x14ac:dyDescent="0.3">
      <c r="A1948" s="42">
        <v>45919</v>
      </c>
      <c r="B1948" s="43">
        <v>0.59182870370370366</v>
      </c>
      <c r="C1948" t="s">
        <v>152</v>
      </c>
      <c r="D1948" t="s">
        <v>36</v>
      </c>
      <c r="E1948" t="s">
        <v>250</v>
      </c>
      <c r="F1948">
        <v>-22900</v>
      </c>
      <c r="G1948" t="s">
        <v>266</v>
      </c>
    </row>
    <row r="1949" spans="1:7" x14ac:dyDescent="0.3">
      <c r="A1949" s="42">
        <v>45919</v>
      </c>
      <c r="B1949" s="43">
        <v>0.5214699074074074</v>
      </c>
      <c r="C1949" t="s">
        <v>152</v>
      </c>
      <c r="D1949" t="s">
        <v>44</v>
      </c>
      <c r="E1949" t="s">
        <v>430</v>
      </c>
      <c r="F1949">
        <v>-16430</v>
      </c>
      <c r="G1949" t="s">
        <v>266</v>
      </c>
    </row>
    <row r="1950" spans="1:7" x14ac:dyDescent="0.3">
      <c r="A1950" s="42">
        <v>45919</v>
      </c>
      <c r="B1950" s="43">
        <v>0.48408564814814808</v>
      </c>
      <c r="C1950" t="s">
        <v>152</v>
      </c>
      <c r="D1950" t="s">
        <v>42</v>
      </c>
      <c r="E1950" t="s">
        <v>696</v>
      </c>
      <c r="F1950">
        <v>-14000</v>
      </c>
      <c r="G1950" t="s">
        <v>266</v>
      </c>
    </row>
    <row r="1951" spans="1:7" x14ac:dyDescent="0.3">
      <c r="A1951" s="42">
        <v>45919</v>
      </c>
      <c r="B1951" s="43">
        <v>0.33407407407407408</v>
      </c>
      <c r="C1951" t="s">
        <v>176</v>
      </c>
      <c r="D1951" t="s">
        <v>29</v>
      </c>
      <c r="E1951" t="s">
        <v>29</v>
      </c>
      <c r="F1951">
        <v>4630720</v>
      </c>
      <c r="G1951" t="s">
        <v>60</v>
      </c>
    </row>
    <row r="1952" spans="1:7" x14ac:dyDescent="0.3">
      <c r="A1952" s="42">
        <v>45919</v>
      </c>
      <c r="B1952" s="43">
        <v>0.32528935185185193</v>
      </c>
      <c r="C1952" t="s">
        <v>152</v>
      </c>
      <c r="D1952" t="s">
        <v>40</v>
      </c>
      <c r="E1952" t="s">
        <v>540</v>
      </c>
      <c r="F1952">
        <v>-5400</v>
      </c>
      <c r="G1952" t="s">
        <v>266</v>
      </c>
    </row>
    <row r="1953" spans="1:7" x14ac:dyDescent="0.3">
      <c r="A1953" s="42">
        <v>45919</v>
      </c>
      <c r="B1953" s="43">
        <v>0</v>
      </c>
      <c r="C1953" t="s">
        <v>152</v>
      </c>
      <c r="D1953" t="s">
        <v>36</v>
      </c>
      <c r="E1953" t="s">
        <v>250</v>
      </c>
      <c r="F1953">
        <v>46000</v>
      </c>
      <c r="G1953" t="s">
        <v>266</v>
      </c>
    </row>
    <row r="1954" spans="1:7" x14ac:dyDescent="0.3">
      <c r="A1954" s="42">
        <v>45918</v>
      </c>
      <c r="B1954" s="43">
        <v>0.6758912037037037</v>
      </c>
      <c r="C1954" t="s">
        <v>152</v>
      </c>
      <c r="D1954" t="s">
        <v>36</v>
      </c>
      <c r="E1954" t="s">
        <v>250</v>
      </c>
      <c r="F1954">
        <v>40300</v>
      </c>
      <c r="G1954" t="s">
        <v>266</v>
      </c>
    </row>
    <row r="1955" spans="1:7" x14ac:dyDescent="0.3">
      <c r="A1955" s="42">
        <v>45918</v>
      </c>
      <c r="B1955" s="43">
        <v>0.36925925925925918</v>
      </c>
      <c r="C1955" t="s">
        <v>152</v>
      </c>
      <c r="D1955" t="s">
        <v>50</v>
      </c>
      <c r="E1955" t="s">
        <v>184</v>
      </c>
      <c r="F1955">
        <v>-1600</v>
      </c>
      <c r="G1955" t="s">
        <v>266</v>
      </c>
    </row>
    <row r="1956" spans="1:7" x14ac:dyDescent="0.3">
      <c r="A1956" s="42">
        <v>45918</v>
      </c>
      <c r="B1956" s="43">
        <v>0.36430555555555549</v>
      </c>
      <c r="C1956" t="s">
        <v>152</v>
      </c>
      <c r="D1956" t="s">
        <v>36</v>
      </c>
      <c r="E1956" t="s">
        <v>250</v>
      </c>
      <c r="F1956">
        <v>-45900</v>
      </c>
      <c r="G1956" t="s">
        <v>266</v>
      </c>
    </row>
    <row r="1957" spans="1:7" x14ac:dyDescent="0.3">
      <c r="A1957" s="42">
        <v>45918</v>
      </c>
      <c r="B1957" s="43">
        <v>0.2764699074074074</v>
      </c>
      <c r="C1957" t="s">
        <v>152</v>
      </c>
      <c r="D1957" t="s">
        <v>36</v>
      </c>
      <c r="E1957" t="s">
        <v>250</v>
      </c>
      <c r="F1957">
        <v>-40300</v>
      </c>
      <c r="G1957" t="s">
        <v>266</v>
      </c>
    </row>
    <row r="1958" spans="1:7" x14ac:dyDescent="0.3">
      <c r="A1958" s="42">
        <v>45917</v>
      </c>
      <c r="B1958" s="43">
        <v>0.95012731481481483</v>
      </c>
      <c r="C1958" t="s">
        <v>152</v>
      </c>
      <c r="D1958" t="s">
        <v>36</v>
      </c>
      <c r="E1958" t="s">
        <v>250</v>
      </c>
      <c r="F1958">
        <v>-46000</v>
      </c>
      <c r="G1958" t="s">
        <v>266</v>
      </c>
    </row>
    <row r="1959" spans="1:7" x14ac:dyDescent="0.3">
      <c r="A1959" s="42">
        <v>45917</v>
      </c>
      <c r="B1959" s="43">
        <v>0.66371527777777772</v>
      </c>
      <c r="C1959" t="s">
        <v>152</v>
      </c>
      <c r="D1959" t="s">
        <v>50</v>
      </c>
      <c r="E1959" t="s">
        <v>453</v>
      </c>
      <c r="F1959">
        <v>-14100</v>
      </c>
      <c r="G1959" t="s">
        <v>266</v>
      </c>
    </row>
    <row r="1960" spans="1:7" x14ac:dyDescent="0.3">
      <c r="A1960" s="42">
        <v>45917</v>
      </c>
      <c r="B1960" s="43">
        <v>0.54976851851851849</v>
      </c>
      <c r="C1960" t="s">
        <v>152</v>
      </c>
      <c r="D1960" t="s">
        <v>42</v>
      </c>
      <c r="E1960" t="s">
        <v>763</v>
      </c>
      <c r="F1960">
        <v>-15000</v>
      </c>
      <c r="G1960" t="s">
        <v>266</v>
      </c>
    </row>
    <row r="1961" spans="1:7" x14ac:dyDescent="0.3">
      <c r="A1961" s="42">
        <v>45916</v>
      </c>
      <c r="B1961" s="43">
        <v>0.72461805555555558</v>
      </c>
      <c r="C1961" t="s">
        <v>152</v>
      </c>
      <c r="D1961" t="s">
        <v>40</v>
      </c>
      <c r="E1961" t="s">
        <v>455</v>
      </c>
      <c r="F1961">
        <v>-5000</v>
      </c>
      <c r="G1961" t="s">
        <v>266</v>
      </c>
    </row>
    <row r="1962" spans="1:7" x14ac:dyDescent="0.3">
      <c r="A1962" s="42">
        <v>45916</v>
      </c>
      <c r="B1962" s="43">
        <v>0.51645833333333335</v>
      </c>
      <c r="C1962" t="s">
        <v>152</v>
      </c>
      <c r="D1962" t="s">
        <v>44</v>
      </c>
      <c r="E1962" t="s">
        <v>190</v>
      </c>
      <c r="F1962">
        <v>-6500</v>
      </c>
      <c r="G1962" t="s">
        <v>154</v>
      </c>
    </row>
    <row r="1963" spans="1:7" x14ac:dyDescent="0.3">
      <c r="A1963" s="42">
        <v>45916</v>
      </c>
      <c r="B1963" s="43">
        <v>0.41834490740740737</v>
      </c>
      <c r="C1963" t="s">
        <v>152</v>
      </c>
      <c r="D1963" t="s">
        <v>37</v>
      </c>
      <c r="E1963" t="s">
        <v>498</v>
      </c>
      <c r="F1963">
        <v>-16400</v>
      </c>
      <c r="G1963" t="s">
        <v>266</v>
      </c>
    </row>
    <row r="1964" spans="1:7" x14ac:dyDescent="0.3">
      <c r="A1964" s="42">
        <v>45915</v>
      </c>
      <c r="B1964" s="43">
        <v>0.85496527777777775</v>
      </c>
      <c r="C1964" t="s">
        <v>155</v>
      </c>
      <c r="D1964" t="s">
        <v>213</v>
      </c>
      <c r="E1964" t="s">
        <v>326</v>
      </c>
      <c r="F1964">
        <v>-601213</v>
      </c>
      <c r="G1964" t="s">
        <v>61</v>
      </c>
    </row>
    <row r="1965" spans="1:7" x14ac:dyDescent="0.3">
      <c r="A1965" s="42">
        <v>45915</v>
      </c>
      <c r="B1965" s="43">
        <v>0.82480324074074074</v>
      </c>
      <c r="C1965" t="s">
        <v>152</v>
      </c>
      <c r="D1965" t="s">
        <v>40</v>
      </c>
      <c r="E1965" t="s">
        <v>409</v>
      </c>
      <c r="F1965">
        <v>-5700</v>
      </c>
      <c r="G1965" t="s">
        <v>266</v>
      </c>
    </row>
    <row r="1966" spans="1:7" x14ac:dyDescent="0.3">
      <c r="A1966" s="42">
        <v>45915</v>
      </c>
      <c r="B1966" s="43">
        <v>0.81950231481481484</v>
      </c>
      <c r="C1966" t="s">
        <v>155</v>
      </c>
      <c r="D1966" t="s">
        <v>155</v>
      </c>
      <c r="E1966" t="s">
        <v>764</v>
      </c>
      <c r="F1966">
        <v>3000</v>
      </c>
      <c r="G1966" t="s">
        <v>61</v>
      </c>
    </row>
    <row r="1967" spans="1:7" x14ac:dyDescent="0.3">
      <c r="A1967" s="42">
        <v>45915</v>
      </c>
      <c r="B1967" s="43">
        <v>0.80290509259259257</v>
      </c>
      <c r="C1967" t="s">
        <v>155</v>
      </c>
      <c r="D1967" t="s">
        <v>213</v>
      </c>
      <c r="E1967" t="s">
        <v>765</v>
      </c>
      <c r="F1967">
        <v>-1447855</v>
      </c>
      <c r="G1967" t="s">
        <v>61</v>
      </c>
    </row>
    <row r="1968" spans="1:7" x14ac:dyDescent="0.3">
      <c r="A1968" s="42">
        <v>45915</v>
      </c>
      <c r="B1968" s="43">
        <v>0.54821759259259262</v>
      </c>
      <c r="C1968" t="s">
        <v>152</v>
      </c>
      <c r="D1968" t="s">
        <v>42</v>
      </c>
      <c r="E1968" t="s">
        <v>766</v>
      </c>
      <c r="F1968">
        <v>-900</v>
      </c>
      <c r="G1968" t="s">
        <v>199</v>
      </c>
    </row>
    <row r="1969" spans="1:7" x14ac:dyDescent="0.3">
      <c r="A1969" s="42">
        <v>45915</v>
      </c>
      <c r="B1969" s="43">
        <v>0.48748842592592601</v>
      </c>
      <c r="C1969" t="s">
        <v>152</v>
      </c>
      <c r="D1969" t="s">
        <v>49</v>
      </c>
      <c r="E1969" t="s">
        <v>767</v>
      </c>
      <c r="F1969">
        <v>-900</v>
      </c>
      <c r="G1969" t="s">
        <v>266</v>
      </c>
    </row>
    <row r="1970" spans="1:7" x14ac:dyDescent="0.3">
      <c r="A1970" s="42">
        <v>45915</v>
      </c>
      <c r="B1970" s="43">
        <v>0.44362268518518522</v>
      </c>
      <c r="C1970" t="s">
        <v>152</v>
      </c>
      <c r="D1970" t="s">
        <v>47</v>
      </c>
      <c r="E1970" t="s">
        <v>768</v>
      </c>
      <c r="F1970">
        <v>150000</v>
      </c>
      <c r="G1970" t="s">
        <v>266</v>
      </c>
    </row>
    <row r="1971" spans="1:7" x14ac:dyDescent="0.3">
      <c r="A1971" s="42">
        <v>45915</v>
      </c>
      <c r="B1971" s="43">
        <v>0.44361111111111112</v>
      </c>
      <c r="C1971" t="s">
        <v>152</v>
      </c>
      <c r="D1971" t="s">
        <v>47</v>
      </c>
      <c r="E1971" t="s">
        <v>768</v>
      </c>
      <c r="F1971">
        <v>-70000</v>
      </c>
      <c r="G1971" t="s">
        <v>266</v>
      </c>
    </row>
    <row r="1972" spans="1:7" x14ac:dyDescent="0.3">
      <c r="A1972" s="42">
        <v>45915</v>
      </c>
      <c r="B1972" s="43">
        <v>0.4422800925925926</v>
      </c>
      <c r="C1972" t="s">
        <v>152</v>
      </c>
      <c r="D1972" t="s">
        <v>47</v>
      </c>
      <c r="E1972" t="s">
        <v>768</v>
      </c>
      <c r="F1972">
        <v>-150000</v>
      </c>
      <c r="G1972" t="s">
        <v>266</v>
      </c>
    </row>
    <row r="1973" spans="1:7" x14ac:dyDescent="0.3">
      <c r="A1973" s="42">
        <v>45915</v>
      </c>
      <c r="B1973" s="43">
        <v>0.42618055555555562</v>
      </c>
      <c r="C1973" t="s">
        <v>152</v>
      </c>
      <c r="D1973" t="s">
        <v>36</v>
      </c>
      <c r="E1973" t="s">
        <v>225</v>
      </c>
      <c r="F1973">
        <v>-300</v>
      </c>
      <c r="G1973" t="s">
        <v>161</v>
      </c>
    </row>
    <row r="1974" spans="1:7" x14ac:dyDescent="0.3">
      <c r="A1974" s="42">
        <v>45915</v>
      </c>
      <c r="B1974" s="43">
        <v>0.42618055555555562</v>
      </c>
      <c r="C1974" t="s">
        <v>152</v>
      </c>
      <c r="D1974" t="s">
        <v>36</v>
      </c>
      <c r="E1974" t="s">
        <v>612</v>
      </c>
      <c r="F1974">
        <v>-3100</v>
      </c>
      <c r="G1974" t="s">
        <v>161</v>
      </c>
    </row>
    <row r="1975" spans="1:7" x14ac:dyDescent="0.3">
      <c r="A1975" s="42">
        <v>45915</v>
      </c>
      <c r="B1975" s="43">
        <v>0.42077546296296298</v>
      </c>
      <c r="C1975" t="s">
        <v>152</v>
      </c>
      <c r="D1975" t="s">
        <v>49</v>
      </c>
      <c r="E1975" t="s">
        <v>769</v>
      </c>
      <c r="F1975">
        <v>-1400</v>
      </c>
      <c r="G1975" t="s">
        <v>266</v>
      </c>
    </row>
    <row r="1976" spans="1:7" x14ac:dyDescent="0.3">
      <c r="A1976" s="42">
        <v>45915</v>
      </c>
      <c r="B1976" s="43">
        <v>0.36331018518518521</v>
      </c>
      <c r="C1976" t="s">
        <v>152</v>
      </c>
      <c r="D1976" t="s">
        <v>42</v>
      </c>
      <c r="E1976" t="s">
        <v>770</v>
      </c>
      <c r="F1976">
        <v>-31000</v>
      </c>
      <c r="G1976" t="s">
        <v>266</v>
      </c>
    </row>
    <row r="1977" spans="1:7" x14ac:dyDescent="0.3">
      <c r="A1977" s="42">
        <v>45914</v>
      </c>
      <c r="B1977" s="43">
        <v>0.78560185185185183</v>
      </c>
      <c r="C1977" t="s">
        <v>152</v>
      </c>
      <c r="D1977" t="s">
        <v>42</v>
      </c>
      <c r="E1977" t="s">
        <v>771</v>
      </c>
      <c r="F1977">
        <v>-36000</v>
      </c>
      <c r="G1977" t="s">
        <v>266</v>
      </c>
    </row>
    <row r="1978" spans="1:7" x14ac:dyDescent="0.3">
      <c r="A1978" s="42">
        <v>45914</v>
      </c>
      <c r="B1978" s="43">
        <v>0.71528935185185183</v>
      </c>
      <c r="C1978" t="s">
        <v>152</v>
      </c>
      <c r="D1978" t="s">
        <v>40</v>
      </c>
      <c r="E1978" t="s">
        <v>772</v>
      </c>
      <c r="F1978">
        <v>-6000</v>
      </c>
      <c r="G1978" t="s">
        <v>266</v>
      </c>
    </row>
    <row r="1979" spans="1:7" x14ac:dyDescent="0.3">
      <c r="A1979" s="42">
        <v>45914</v>
      </c>
      <c r="B1979" s="43">
        <v>0.63146990740740738</v>
      </c>
      <c r="C1979" t="s">
        <v>152</v>
      </c>
      <c r="D1979" t="s">
        <v>40</v>
      </c>
      <c r="E1979" t="s">
        <v>773</v>
      </c>
      <c r="F1979">
        <v>-4400</v>
      </c>
      <c r="G1979" t="s">
        <v>266</v>
      </c>
    </row>
    <row r="1980" spans="1:7" x14ac:dyDescent="0.3">
      <c r="A1980" s="42">
        <v>45914</v>
      </c>
      <c r="B1980" s="43">
        <v>0.588287037037037</v>
      </c>
      <c r="C1980" t="s">
        <v>152</v>
      </c>
      <c r="D1980" t="s">
        <v>43</v>
      </c>
      <c r="E1980" t="s">
        <v>774</v>
      </c>
      <c r="F1980">
        <v>-10500</v>
      </c>
      <c r="G1980" t="s">
        <v>266</v>
      </c>
    </row>
    <row r="1981" spans="1:7" x14ac:dyDescent="0.3">
      <c r="A1981" s="42">
        <v>45914</v>
      </c>
      <c r="B1981" s="43">
        <v>0.50087962962962962</v>
      </c>
      <c r="C1981" t="s">
        <v>152</v>
      </c>
      <c r="D1981" t="s">
        <v>49</v>
      </c>
      <c r="E1981" t="s">
        <v>775</v>
      </c>
      <c r="F1981">
        <v>-35300</v>
      </c>
      <c r="G1981" t="s">
        <v>266</v>
      </c>
    </row>
    <row r="1982" spans="1:7" x14ac:dyDescent="0.3">
      <c r="A1982" s="42">
        <v>45914</v>
      </c>
      <c r="B1982" s="43">
        <v>0.46082175925925928</v>
      </c>
      <c r="C1982" t="s">
        <v>152</v>
      </c>
      <c r="D1982" t="s">
        <v>42</v>
      </c>
      <c r="E1982" t="s">
        <v>776</v>
      </c>
      <c r="F1982">
        <v>-2500</v>
      </c>
      <c r="G1982" t="s">
        <v>266</v>
      </c>
    </row>
    <row r="1983" spans="1:7" x14ac:dyDescent="0.3">
      <c r="A1983" s="42">
        <v>45914</v>
      </c>
      <c r="B1983" s="43">
        <v>0.42848379629629629</v>
      </c>
      <c r="C1983" t="s">
        <v>152</v>
      </c>
      <c r="D1983" t="s">
        <v>36</v>
      </c>
      <c r="E1983" t="s">
        <v>274</v>
      </c>
      <c r="F1983">
        <v>-1750</v>
      </c>
      <c r="G1983" t="s">
        <v>161</v>
      </c>
    </row>
    <row r="1984" spans="1:7" x14ac:dyDescent="0.3">
      <c r="A1984" s="42">
        <v>45914</v>
      </c>
      <c r="B1984" s="43">
        <v>0.37769675925925927</v>
      </c>
      <c r="C1984" t="s">
        <v>152</v>
      </c>
      <c r="D1984" t="s">
        <v>43</v>
      </c>
      <c r="E1984" t="s">
        <v>774</v>
      </c>
      <c r="F1984">
        <v>-35100</v>
      </c>
      <c r="G1984" t="s">
        <v>266</v>
      </c>
    </row>
    <row r="1985" spans="1:7" x14ac:dyDescent="0.3">
      <c r="A1985" s="42">
        <v>45913</v>
      </c>
      <c r="B1985" s="43">
        <v>0.77112268518518523</v>
      </c>
      <c r="C1985" t="s">
        <v>152</v>
      </c>
      <c r="D1985" t="s">
        <v>40</v>
      </c>
      <c r="E1985" t="s">
        <v>773</v>
      </c>
      <c r="F1985">
        <v>-2300</v>
      </c>
      <c r="G1985" t="s">
        <v>266</v>
      </c>
    </row>
    <row r="1986" spans="1:7" x14ac:dyDescent="0.3">
      <c r="A1986" s="42">
        <v>45913</v>
      </c>
      <c r="B1986" s="43">
        <v>0.74880787037037033</v>
      </c>
      <c r="C1986" t="s">
        <v>152</v>
      </c>
      <c r="D1986" t="s">
        <v>42</v>
      </c>
      <c r="E1986" t="s">
        <v>183</v>
      </c>
      <c r="F1986">
        <v>-62000</v>
      </c>
      <c r="G1986" t="s">
        <v>266</v>
      </c>
    </row>
    <row r="1987" spans="1:7" x14ac:dyDescent="0.3">
      <c r="A1987" s="42">
        <v>45913</v>
      </c>
      <c r="B1987" s="43">
        <v>0.55171296296296302</v>
      </c>
      <c r="C1987" t="s">
        <v>152</v>
      </c>
      <c r="D1987" t="s">
        <v>36</v>
      </c>
      <c r="E1987" t="s">
        <v>777</v>
      </c>
      <c r="F1987">
        <v>-35000</v>
      </c>
      <c r="G1987" t="s">
        <v>182</v>
      </c>
    </row>
    <row r="1988" spans="1:7" x14ac:dyDescent="0.3">
      <c r="A1988" s="42">
        <v>45913</v>
      </c>
      <c r="B1988" s="43">
        <v>0.50387731481481479</v>
      </c>
      <c r="C1988" t="s">
        <v>152</v>
      </c>
      <c r="D1988" t="s">
        <v>49</v>
      </c>
      <c r="E1988" t="s">
        <v>778</v>
      </c>
      <c r="F1988">
        <v>-4000</v>
      </c>
      <c r="G1988" t="s">
        <v>266</v>
      </c>
    </row>
    <row r="1989" spans="1:7" x14ac:dyDescent="0.3">
      <c r="A1989" s="42">
        <v>45913</v>
      </c>
      <c r="B1989" s="43">
        <v>0.42369212962962971</v>
      </c>
      <c r="C1989" t="s">
        <v>152</v>
      </c>
      <c r="D1989" t="s">
        <v>42</v>
      </c>
      <c r="E1989" t="s">
        <v>779</v>
      </c>
      <c r="F1989">
        <v>-15600</v>
      </c>
      <c r="G1989" t="s">
        <v>266</v>
      </c>
    </row>
    <row r="1990" spans="1:7" x14ac:dyDescent="0.3">
      <c r="A1990" s="42">
        <v>45913</v>
      </c>
      <c r="B1990" s="43">
        <v>0.41564814814814821</v>
      </c>
      <c r="C1990" t="s">
        <v>152</v>
      </c>
      <c r="D1990" t="s">
        <v>36</v>
      </c>
      <c r="E1990" t="s">
        <v>274</v>
      </c>
      <c r="F1990">
        <v>-1750</v>
      </c>
      <c r="G1990" t="s">
        <v>161</v>
      </c>
    </row>
    <row r="1991" spans="1:7" x14ac:dyDescent="0.3">
      <c r="A1991" s="42">
        <v>45912</v>
      </c>
      <c r="B1991" s="43">
        <v>0.58651620370370372</v>
      </c>
      <c r="C1991" t="s">
        <v>152</v>
      </c>
      <c r="D1991" t="s">
        <v>40</v>
      </c>
      <c r="E1991" t="s">
        <v>780</v>
      </c>
      <c r="F1991">
        <v>-18700</v>
      </c>
      <c r="G1991" t="s">
        <v>186</v>
      </c>
    </row>
    <row r="1992" spans="1:7" x14ac:dyDescent="0.3">
      <c r="A1992" s="42">
        <v>45912</v>
      </c>
      <c r="B1992" s="43">
        <v>0.45078703703703699</v>
      </c>
      <c r="C1992" t="s">
        <v>152</v>
      </c>
      <c r="D1992" t="s">
        <v>44</v>
      </c>
      <c r="E1992" t="s">
        <v>159</v>
      </c>
      <c r="F1992">
        <v>-8900</v>
      </c>
      <c r="G1992" t="s">
        <v>154</v>
      </c>
    </row>
    <row r="1993" spans="1:7" x14ac:dyDescent="0.3">
      <c r="A1993" s="42">
        <v>45912</v>
      </c>
      <c r="B1993" s="43">
        <v>0.42103009259259261</v>
      </c>
      <c r="C1993" t="s">
        <v>152</v>
      </c>
      <c r="D1993" t="s">
        <v>36</v>
      </c>
      <c r="E1993" t="s">
        <v>244</v>
      </c>
      <c r="F1993">
        <v>-500</v>
      </c>
      <c r="G1993" t="s">
        <v>161</v>
      </c>
    </row>
    <row r="1994" spans="1:7" x14ac:dyDescent="0.3">
      <c r="A1994" s="42">
        <v>45912</v>
      </c>
      <c r="B1994" s="43">
        <v>0.42103009259259261</v>
      </c>
      <c r="C1994" t="s">
        <v>152</v>
      </c>
      <c r="D1994" t="s">
        <v>36</v>
      </c>
      <c r="E1994" t="s">
        <v>226</v>
      </c>
      <c r="F1994">
        <v>-3000</v>
      </c>
      <c r="G1994" t="s">
        <v>161</v>
      </c>
    </row>
    <row r="1995" spans="1:7" x14ac:dyDescent="0.3">
      <c r="A1995" s="42">
        <v>45911</v>
      </c>
      <c r="B1995" s="43">
        <v>0.8715856481481481</v>
      </c>
      <c r="C1995" t="s">
        <v>152</v>
      </c>
      <c r="D1995" t="s">
        <v>40</v>
      </c>
      <c r="E1995" t="s">
        <v>424</v>
      </c>
      <c r="F1995">
        <v>-1000</v>
      </c>
      <c r="G1995" t="s">
        <v>154</v>
      </c>
    </row>
    <row r="1996" spans="1:7" x14ac:dyDescent="0.3">
      <c r="A1996" s="42">
        <v>45911</v>
      </c>
      <c r="B1996" s="43">
        <v>0.7336921296296296</v>
      </c>
      <c r="C1996" t="s">
        <v>152</v>
      </c>
      <c r="D1996" t="s">
        <v>44</v>
      </c>
      <c r="E1996" t="s">
        <v>190</v>
      </c>
      <c r="F1996">
        <v>-12290</v>
      </c>
      <c r="G1996" t="s">
        <v>154</v>
      </c>
    </row>
    <row r="1997" spans="1:7" x14ac:dyDescent="0.3">
      <c r="A1997" s="42">
        <v>45911</v>
      </c>
      <c r="B1997" s="43">
        <v>0.69836805555555559</v>
      </c>
      <c r="C1997" t="s">
        <v>152</v>
      </c>
      <c r="D1997" t="s">
        <v>44</v>
      </c>
      <c r="E1997" t="s">
        <v>190</v>
      </c>
      <c r="F1997">
        <v>-11670</v>
      </c>
      <c r="G1997" t="s">
        <v>154</v>
      </c>
    </row>
    <row r="1998" spans="1:7" x14ac:dyDescent="0.3">
      <c r="A1998" s="42">
        <v>45911</v>
      </c>
      <c r="B1998" s="43">
        <v>0.69538194444444446</v>
      </c>
      <c r="C1998" t="s">
        <v>152</v>
      </c>
      <c r="D1998" t="s">
        <v>44</v>
      </c>
      <c r="E1998" t="s">
        <v>190</v>
      </c>
      <c r="F1998">
        <v>-16750</v>
      </c>
      <c r="G1998" t="s">
        <v>154</v>
      </c>
    </row>
    <row r="1999" spans="1:7" x14ac:dyDescent="0.3">
      <c r="A1999" s="42">
        <v>45911</v>
      </c>
      <c r="B1999" s="43">
        <v>0.64359953703703698</v>
      </c>
      <c r="C1999" t="s">
        <v>152</v>
      </c>
      <c r="D1999" t="s">
        <v>50</v>
      </c>
      <c r="E1999" t="s">
        <v>184</v>
      </c>
      <c r="F1999">
        <v>-1600</v>
      </c>
      <c r="G1999" t="s">
        <v>154</v>
      </c>
    </row>
    <row r="2000" spans="1:7" x14ac:dyDescent="0.3">
      <c r="A2000" s="42">
        <v>45911</v>
      </c>
      <c r="B2000" s="43">
        <v>0.60701388888888885</v>
      </c>
      <c r="C2000" t="s">
        <v>152</v>
      </c>
      <c r="D2000" t="s">
        <v>50</v>
      </c>
      <c r="E2000" t="s">
        <v>781</v>
      </c>
      <c r="F2000">
        <v>-4900</v>
      </c>
      <c r="G2000" t="s">
        <v>186</v>
      </c>
    </row>
    <row r="2001" spans="1:7" x14ac:dyDescent="0.3">
      <c r="A2001" s="42">
        <v>45911</v>
      </c>
      <c r="B2001" s="43">
        <v>0.59876157407407404</v>
      </c>
      <c r="C2001" t="s">
        <v>152</v>
      </c>
      <c r="D2001" t="s">
        <v>40</v>
      </c>
      <c r="E2001" t="s">
        <v>425</v>
      </c>
      <c r="F2001">
        <v>-3020</v>
      </c>
      <c r="G2001" t="s">
        <v>266</v>
      </c>
    </row>
    <row r="2002" spans="1:7" x14ac:dyDescent="0.3">
      <c r="A2002" s="42">
        <v>45911</v>
      </c>
      <c r="B2002" s="43">
        <v>0.57365740740740745</v>
      </c>
      <c r="C2002" t="s">
        <v>152</v>
      </c>
      <c r="D2002" t="s">
        <v>42</v>
      </c>
      <c r="E2002" t="s">
        <v>782</v>
      </c>
      <c r="F2002">
        <v>-3200</v>
      </c>
      <c r="G2002" t="s">
        <v>154</v>
      </c>
    </row>
    <row r="2003" spans="1:7" x14ac:dyDescent="0.3">
      <c r="A2003" s="42">
        <v>45911</v>
      </c>
      <c r="B2003" s="43">
        <v>0.51429398148148153</v>
      </c>
      <c r="C2003" t="s">
        <v>152</v>
      </c>
      <c r="D2003" t="s">
        <v>50</v>
      </c>
      <c r="E2003" t="s">
        <v>783</v>
      </c>
      <c r="F2003">
        <v>-8000</v>
      </c>
      <c r="G2003" t="s">
        <v>154</v>
      </c>
    </row>
    <row r="2004" spans="1:7" x14ac:dyDescent="0.3">
      <c r="A2004" s="42">
        <v>45911</v>
      </c>
      <c r="B2004" s="43">
        <v>0.42189814814814808</v>
      </c>
      <c r="C2004" t="s">
        <v>152</v>
      </c>
      <c r="D2004" t="s">
        <v>36</v>
      </c>
      <c r="E2004" t="s">
        <v>243</v>
      </c>
      <c r="F2004">
        <v>-1500</v>
      </c>
      <c r="G2004" t="s">
        <v>161</v>
      </c>
    </row>
    <row r="2005" spans="1:7" x14ac:dyDescent="0.3">
      <c r="A2005" s="42">
        <v>45911</v>
      </c>
      <c r="B2005" s="43">
        <v>0.42188657407407409</v>
      </c>
      <c r="C2005" t="s">
        <v>152</v>
      </c>
      <c r="D2005" t="s">
        <v>36</v>
      </c>
      <c r="E2005" t="s">
        <v>244</v>
      </c>
      <c r="F2005">
        <v>-2000</v>
      </c>
      <c r="G2005" t="s">
        <v>161</v>
      </c>
    </row>
    <row r="2006" spans="1:7" x14ac:dyDescent="0.3">
      <c r="A2006" s="42">
        <v>45910</v>
      </c>
      <c r="B2006" s="43">
        <v>0.97936342592592596</v>
      </c>
      <c r="C2006" t="s">
        <v>155</v>
      </c>
      <c r="D2006" t="s">
        <v>163</v>
      </c>
      <c r="E2006" t="s">
        <v>164</v>
      </c>
      <c r="F2006">
        <v>228060</v>
      </c>
      <c r="G2006" t="s">
        <v>158</v>
      </c>
    </row>
    <row r="2007" spans="1:7" x14ac:dyDescent="0.3">
      <c r="A2007" s="42">
        <v>45910</v>
      </c>
      <c r="B2007" s="43">
        <v>0.97936342592592596</v>
      </c>
      <c r="C2007" t="s">
        <v>155</v>
      </c>
      <c r="D2007" t="s">
        <v>155</v>
      </c>
      <c r="E2007" t="s">
        <v>488</v>
      </c>
      <c r="F2007">
        <v>-250000</v>
      </c>
      <c r="G2007" t="s">
        <v>158</v>
      </c>
    </row>
    <row r="2008" spans="1:7" x14ac:dyDescent="0.3">
      <c r="A2008" s="42">
        <v>45910</v>
      </c>
      <c r="B2008" s="43">
        <v>0.97936342592592596</v>
      </c>
      <c r="C2008" t="s">
        <v>155</v>
      </c>
      <c r="D2008" t="s">
        <v>163</v>
      </c>
      <c r="E2008" t="s">
        <v>166</v>
      </c>
      <c r="F2008">
        <v>-228060</v>
      </c>
      <c r="G2008" t="s">
        <v>61</v>
      </c>
    </row>
    <row r="2009" spans="1:7" x14ac:dyDescent="0.3">
      <c r="A2009" s="42">
        <v>45910</v>
      </c>
      <c r="B2009" s="43">
        <v>0.70416666666666672</v>
      </c>
      <c r="C2009" t="s">
        <v>152</v>
      </c>
      <c r="D2009" t="s">
        <v>50</v>
      </c>
      <c r="E2009" t="s">
        <v>353</v>
      </c>
      <c r="F2009">
        <v>-4050</v>
      </c>
      <c r="G2009" t="s">
        <v>266</v>
      </c>
    </row>
    <row r="2010" spans="1:7" x14ac:dyDescent="0.3">
      <c r="A2010" s="42">
        <v>45910</v>
      </c>
      <c r="B2010" s="43">
        <v>0.70304398148148151</v>
      </c>
      <c r="C2010" t="s">
        <v>152</v>
      </c>
      <c r="D2010" t="s">
        <v>50</v>
      </c>
      <c r="E2010" t="s">
        <v>353</v>
      </c>
      <c r="F2010">
        <v>16470</v>
      </c>
      <c r="G2010" t="s">
        <v>266</v>
      </c>
    </row>
    <row r="2011" spans="1:7" x14ac:dyDescent="0.3">
      <c r="A2011" s="42">
        <v>45910</v>
      </c>
      <c r="B2011" s="43">
        <v>0.70239583333333333</v>
      </c>
      <c r="C2011" t="s">
        <v>152</v>
      </c>
      <c r="D2011" t="s">
        <v>50</v>
      </c>
      <c r="E2011" t="s">
        <v>353</v>
      </c>
      <c r="F2011">
        <v>-16470</v>
      </c>
      <c r="G2011" t="s">
        <v>266</v>
      </c>
    </row>
    <row r="2012" spans="1:7" x14ac:dyDescent="0.3">
      <c r="A2012" s="42">
        <v>45910</v>
      </c>
      <c r="B2012" s="43">
        <v>0.65560185185185182</v>
      </c>
      <c r="C2012" t="s">
        <v>152</v>
      </c>
      <c r="D2012" t="s">
        <v>44</v>
      </c>
      <c r="E2012" t="s">
        <v>647</v>
      </c>
      <c r="F2012">
        <v>-17613</v>
      </c>
      <c r="G2012" t="s">
        <v>154</v>
      </c>
    </row>
    <row r="2013" spans="1:7" x14ac:dyDescent="0.3">
      <c r="A2013" s="42">
        <v>45910</v>
      </c>
      <c r="B2013" s="43">
        <v>0.62881944444444449</v>
      </c>
      <c r="C2013" t="s">
        <v>176</v>
      </c>
      <c r="D2013" t="s">
        <v>32</v>
      </c>
      <c r="E2013" t="s">
        <v>177</v>
      </c>
      <c r="F2013">
        <v>325200</v>
      </c>
      <c r="G2013" t="s">
        <v>61</v>
      </c>
    </row>
    <row r="2014" spans="1:7" x14ac:dyDescent="0.3">
      <c r="A2014" s="42">
        <v>45910</v>
      </c>
      <c r="B2014" s="43">
        <v>0.61314814814814811</v>
      </c>
      <c r="C2014" t="s">
        <v>152</v>
      </c>
      <c r="D2014" t="s">
        <v>44</v>
      </c>
      <c r="E2014" t="s">
        <v>179</v>
      </c>
      <c r="F2014">
        <v>-34900</v>
      </c>
      <c r="G2014" t="s">
        <v>180</v>
      </c>
    </row>
    <row r="2015" spans="1:7" x14ac:dyDescent="0.3">
      <c r="A2015" s="42">
        <v>45910</v>
      </c>
      <c r="B2015" s="43">
        <v>0.51004629629629628</v>
      </c>
      <c r="C2015" t="s">
        <v>176</v>
      </c>
      <c r="D2015" t="s">
        <v>28</v>
      </c>
      <c r="E2015" t="s">
        <v>178</v>
      </c>
      <c r="F2015">
        <v>16800</v>
      </c>
      <c r="G2015" t="s">
        <v>61</v>
      </c>
    </row>
    <row r="2016" spans="1:7" x14ac:dyDescent="0.3">
      <c r="A2016" s="42">
        <v>45910</v>
      </c>
      <c r="B2016" s="43">
        <v>0.45293981481481482</v>
      </c>
      <c r="C2016" t="s">
        <v>152</v>
      </c>
      <c r="D2016" t="s">
        <v>39</v>
      </c>
      <c r="E2016" t="s">
        <v>784</v>
      </c>
      <c r="F2016">
        <v>-15000</v>
      </c>
      <c r="G2016" t="s">
        <v>154</v>
      </c>
    </row>
    <row r="2017" spans="1:7" x14ac:dyDescent="0.3">
      <c r="A2017" s="42">
        <v>45909</v>
      </c>
      <c r="B2017" s="43">
        <v>0.41167824074074072</v>
      </c>
      <c r="C2017" t="s">
        <v>152</v>
      </c>
      <c r="D2017" t="s">
        <v>36</v>
      </c>
      <c r="E2017" t="s">
        <v>226</v>
      </c>
      <c r="F2017">
        <v>-1600</v>
      </c>
      <c r="G2017" t="s">
        <v>161</v>
      </c>
    </row>
    <row r="2018" spans="1:7" x14ac:dyDescent="0.3">
      <c r="A2018" s="42">
        <v>45909</v>
      </c>
      <c r="B2018" s="43">
        <v>0.41167824074074072</v>
      </c>
      <c r="C2018" t="s">
        <v>152</v>
      </c>
      <c r="D2018" t="s">
        <v>36</v>
      </c>
      <c r="E2018" t="s">
        <v>244</v>
      </c>
      <c r="F2018">
        <v>-1900</v>
      </c>
      <c r="G2018" t="s">
        <v>161</v>
      </c>
    </row>
    <row r="2019" spans="1:7" x14ac:dyDescent="0.3">
      <c r="A2019" s="42">
        <v>45909</v>
      </c>
      <c r="B2019" s="43">
        <v>0.40833333333333333</v>
      </c>
      <c r="C2019" t="s">
        <v>152</v>
      </c>
      <c r="D2019" t="s">
        <v>50</v>
      </c>
      <c r="E2019" t="s">
        <v>184</v>
      </c>
      <c r="F2019">
        <v>-1600</v>
      </c>
      <c r="G2019" t="s">
        <v>180</v>
      </c>
    </row>
    <row r="2020" spans="1:7" x14ac:dyDescent="0.3">
      <c r="A2020" s="42">
        <v>45909</v>
      </c>
      <c r="B2020" s="43">
        <v>4.2372685185185187E-2</v>
      </c>
      <c r="C2020" t="s">
        <v>152</v>
      </c>
      <c r="D2020" t="s">
        <v>48</v>
      </c>
      <c r="E2020" t="s">
        <v>311</v>
      </c>
      <c r="F2020">
        <v>-31700</v>
      </c>
      <c r="G2020" t="s">
        <v>154</v>
      </c>
    </row>
    <row r="2021" spans="1:7" x14ac:dyDescent="0.3">
      <c r="A2021" s="42">
        <v>45909</v>
      </c>
      <c r="B2021" s="43">
        <v>4.2372685185185187E-2</v>
      </c>
      <c r="C2021" t="s">
        <v>152</v>
      </c>
      <c r="D2021" t="s">
        <v>48</v>
      </c>
      <c r="E2021" t="s">
        <v>311</v>
      </c>
      <c r="F2021">
        <v>-47850</v>
      </c>
      <c r="G2021" t="s">
        <v>154</v>
      </c>
    </row>
    <row r="2022" spans="1:7" x14ac:dyDescent="0.3">
      <c r="A2022" s="42">
        <v>45908</v>
      </c>
      <c r="B2022" s="43">
        <v>0.84909722222222217</v>
      </c>
      <c r="C2022" t="s">
        <v>152</v>
      </c>
      <c r="D2022" t="s">
        <v>44</v>
      </c>
      <c r="E2022" t="s">
        <v>190</v>
      </c>
      <c r="F2022">
        <v>-18600</v>
      </c>
      <c r="G2022" t="s">
        <v>154</v>
      </c>
    </row>
    <row r="2023" spans="1:7" x14ac:dyDescent="0.3">
      <c r="A2023" s="42">
        <v>45908</v>
      </c>
      <c r="B2023" s="43">
        <v>0.83068287037037036</v>
      </c>
      <c r="C2023" t="s">
        <v>152</v>
      </c>
      <c r="D2023" t="s">
        <v>39</v>
      </c>
      <c r="E2023" t="s">
        <v>528</v>
      </c>
      <c r="F2023">
        <v>-3600</v>
      </c>
      <c r="G2023" t="s">
        <v>180</v>
      </c>
    </row>
    <row r="2024" spans="1:7" x14ac:dyDescent="0.3">
      <c r="A2024" s="42">
        <v>45908</v>
      </c>
      <c r="B2024" s="43">
        <v>0.66745370370370372</v>
      </c>
      <c r="C2024" t="s">
        <v>152</v>
      </c>
      <c r="D2024" t="s">
        <v>38</v>
      </c>
      <c r="E2024" t="s">
        <v>785</v>
      </c>
      <c r="F2024">
        <v>-3200</v>
      </c>
      <c r="G2024" t="s">
        <v>266</v>
      </c>
    </row>
    <row r="2025" spans="1:7" x14ac:dyDescent="0.3">
      <c r="A2025" s="42">
        <v>45908</v>
      </c>
      <c r="B2025" s="43">
        <v>0.4211226851851852</v>
      </c>
      <c r="C2025" t="s">
        <v>152</v>
      </c>
      <c r="D2025" t="s">
        <v>36</v>
      </c>
      <c r="E2025" t="s">
        <v>244</v>
      </c>
      <c r="F2025">
        <v>-500</v>
      </c>
      <c r="G2025" t="s">
        <v>161</v>
      </c>
    </row>
    <row r="2026" spans="1:7" x14ac:dyDescent="0.3">
      <c r="A2026" s="42">
        <v>45908</v>
      </c>
      <c r="B2026" s="43">
        <v>0.4211226851851852</v>
      </c>
      <c r="C2026" t="s">
        <v>152</v>
      </c>
      <c r="D2026" t="s">
        <v>36</v>
      </c>
      <c r="E2026" t="s">
        <v>226</v>
      </c>
      <c r="F2026">
        <v>-3000</v>
      </c>
      <c r="G2026" t="s">
        <v>161</v>
      </c>
    </row>
    <row r="2027" spans="1:7" x14ac:dyDescent="0.3">
      <c r="A2027" s="42">
        <v>45907</v>
      </c>
      <c r="B2027" s="43">
        <v>0.82725694444444442</v>
      </c>
      <c r="C2027" t="s">
        <v>152</v>
      </c>
      <c r="D2027" t="s">
        <v>49</v>
      </c>
      <c r="E2027" t="s">
        <v>469</v>
      </c>
      <c r="F2027">
        <v>-8400</v>
      </c>
      <c r="G2027" t="s">
        <v>180</v>
      </c>
    </row>
    <row r="2028" spans="1:7" x14ac:dyDescent="0.3">
      <c r="A2028" s="42">
        <v>45907</v>
      </c>
      <c r="B2028" s="43">
        <v>0.41385416666666669</v>
      </c>
      <c r="C2028" t="s">
        <v>152</v>
      </c>
      <c r="D2028" t="s">
        <v>36</v>
      </c>
      <c r="E2028" t="s">
        <v>243</v>
      </c>
      <c r="F2028">
        <v>-1500</v>
      </c>
      <c r="G2028" t="s">
        <v>161</v>
      </c>
    </row>
    <row r="2029" spans="1:7" x14ac:dyDescent="0.3">
      <c r="A2029" s="42">
        <v>45907</v>
      </c>
      <c r="B2029" s="43">
        <v>0.41385416666666669</v>
      </c>
      <c r="C2029" t="s">
        <v>152</v>
      </c>
      <c r="D2029" t="s">
        <v>36</v>
      </c>
      <c r="E2029" t="s">
        <v>225</v>
      </c>
      <c r="F2029">
        <v>-1800</v>
      </c>
      <c r="G2029" t="s">
        <v>161</v>
      </c>
    </row>
    <row r="2030" spans="1:7" x14ac:dyDescent="0.3">
      <c r="A2030" s="42">
        <v>45906</v>
      </c>
      <c r="B2030" s="43">
        <v>0.8323842592592593</v>
      </c>
      <c r="C2030" t="s">
        <v>155</v>
      </c>
      <c r="D2030" t="s">
        <v>155</v>
      </c>
      <c r="E2030" t="s">
        <v>480</v>
      </c>
      <c r="F2030">
        <v>-200000</v>
      </c>
      <c r="G2030" t="s">
        <v>60</v>
      </c>
    </row>
    <row r="2031" spans="1:7" x14ac:dyDescent="0.3">
      <c r="A2031" s="42">
        <v>45906</v>
      </c>
      <c r="B2031" s="43">
        <v>0.82019675925925928</v>
      </c>
      <c r="C2031" t="s">
        <v>152</v>
      </c>
      <c r="D2031" t="s">
        <v>42</v>
      </c>
      <c r="E2031" t="s">
        <v>392</v>
      </c>
      <c r="F2031">
        <v>-58950</v>
      </c>
      <c r="G2031" t="s">
        <v>180</v>
      </c>
    </row>
    <row r="2032" spans="1:7" x14ac:dyDescent="0.3">
      <c r="A2032" s="42">
        <v>45906</v>
      </c>
      <c r="B2032" s="43">
        <v>0.77174768518518522</v>
      </c>
      <c r="C2032" t="s">
        <v>152</v>
      </c>
      <c r="D2032" t="s">
        <v>37</v>
      </c>
      <c r="E2032" t="s">
        <v>165</v>
      </c>
      <c r="F2032">
        <v>-28060</v>
      </c>
      <c r="G2032" t="s">
        <v>158</v>
      </c>
    </row>
    <row r="2033" spans="1:7" x14ac:dyDescent="0.3">
      <c r="A2033" s="42">
        <v>45906</v>
      </c>
      <c r="B2033" s="43">
        <v>0.43487268518518518</v>
      </c>
      <c r="C2033" t="s">
        <v>152</v>
      </c>
      <c r="D2033" t="s">
        <v>44</v>
      </c>
      <c r="E2033" t="s">
        <v>190</v>
      </c>
      <c r="F2033">
        <v>-25800</v>
      </c>
      <c r="G2033" t="s">
        <v>154</v>
      </c>
    </row>
    <row r="2034" spans="1:7" x14ac:dyDescent="0.3">
      <c r="A2034" s="42">
        <v>45906</v>
      </c>
      <c r="B2034" s="43">
        <v>0.41395833333333332</v>
      </c>
      <c r="C2034" t="s">
        <v>152</v>
      </c>
      <c r="D2034" t="s">
        <v>36</v>
      </c>
      <c r="E2034" t="s">
        <v>243</v>
      </c>
      <c r="F2034">
        <v>-1500</v>
      </c>
      <c r="G2034" t="s">
        <v>161</v>
      </c>
    </row>
    <row r="2035" spans="1:7" x14ac:dyDescent="0.3">
      <c r="A2035" s="42">
        <v>45906</v>
      </c>
      <c r="B2035" s="43">
        <v>0.41395833333333332</v>
      </c>
      <c r="C2035" t="s">
        <v>152</v>
      </c>
      <c r="D2035" t="s">
        <v>36</v>
      </c>
      <c r="E2035" t="s">
        <v>314</v>
      </c>
      <c r="F2035">
        <v>-4950</v>
      </c>
      <c r="G2035" t="s">
        <v>161</v>
      </c>
    </row>
    <row r="2036" spans="1:7" x14ac:dyDescent="0.3">
      <c r="A2036" s="42">
        <v>45905</v>
      </c>
      <c r="B2036" s="43">
        <v>0.72293981481481484</v>
      </c>
      <c r="C2036" t="s">
        <v>152</v>
      </c>
      <c r="D2036" t="s">
        <v>40</v>
      </c>
      <c r="E2036" t="s">
        <v>455</v>
      </c>
      <c r="F2036">
        <v>-1000</v>
      </c>
      <c r="G2036" t="s">
        <v>180</v>
      </c>
    </row>
    <row r="2037" spans="1:7" x14ac:dyDescent="0.3">
      <c r="A2037" s="42">
        <v>45905</v>
      </c>
      <c r="B2037" s="43">
        <v>0.62789351851851849</v>
      </c>
      <c r="C2037" t="s">
        <v>155</v>
      </c>
      <c r="D2037" t="s">
        <v>217</v>
      </c>
      <c r="E2037" t="s">
        <v>786</v>
      </c>
      <c r="F2037">
        <v>12370</v>
      </c>
      <c r="G2037" t="s">
        <v>61</v>
      </c>
    </row>
    <row r="2038" spans="1:7" x14ac:dyDescent="0.3">
      <c r="A2038" s="42">
        <v>45905</v>
      </c>
      <c r="B2038" s="43">
        <v>0.53151620370370367</v>
      </c>
      <c r="C2038" t="s">
        <v>152</v>
      </c>
      <c r="D2038" t="s">
        <v>50</v>
      </c>
      <c r="E2038" t="s">
        <v>184</v>
      </c>
      <c r="F2038">
        <v>-1600</v>
      </c>
      <c r="G2038" t="s">
        <v>180</v>
      </c>
    </row>
    <row r="2039" spans="1:7" x14ac:dyDescent="0.3">
      <c r="A2039" s="42">
        <v>45905</v>
      </c>
      <c r="B2039" s="43">
        <v>0.48781249999999998</v>
      </c>
      <c r="C2039" t="s">
        <v>152</v>
      </c>
      <c r="D2039" t="s">
        <v>42</v>
      </c>
      <c r="E2039" t="s">
        <v>787</v>
      </c>
      <c r="F2039">
        <v>-15000</v>
      </c>
      <c r="G2039" t="s">
        <v>154</v>
      </c>
    </row>
    <row r="2040" spans="1:7" x14ac:dyDescent="0.3">
      <c r="A2040" s="42">
        <v>45905</v>
      </c>
      <c r="B2040" s="43">
        <v>0.41835648148148152</v>
      </c>
      <c r="C2040" t="s">
        <v>152</v>
      </c>
      <c r="D2040" t="s">
        <v>36</v>
      </c>
      <c r="E2040" t="s">
        <v>274</v>
      </c>
      <c r="F2040">
        <v>-1650</v>
      </c>
      <c r="G2040" t="s">
        <v>161</v>
      </c>
    </row>
    <row r="2041" spans="1:7" x14ac:dyDescent="0.3">
      <c r="A2041" s="42">
        <v>45904</v>
      </c>
      <c r="B2041" s="43">
        <v>0.62532407407407409</v>
      </c>
      <c r="C2041" t="s">
        <v>152</v>
      </c>
      <c r="D2041" t="s">
        <v>39</v>
      </c>
      <c r="E2041" t="s">
        <v>784</v>
      </c>
      <c r="F2041">
        <v>-12000</v>
      </c>
      <c r="G2041" t="s">
        <v>154</v>
      </c>
    </row>
    <row r="2042" spans="1:7" x14ac:dyDescent="0.3">
      <c r="A2042" s="42">
        <v>45904</v>
      </c>
      <c r="B2042" s="43">
        <v>0.60197916666666662</v>
      </c>
      <c r="C2042" t="s">
        <v>152</v>
      </c>
      <c r="D2042" t="s">
        <v>50</v>
      </c>
      <c r="E2042" t="s">
        <v>352</v>
      </c>
      <c r="F2042">
        <v>-22800</v>
      </c>
      <c r="G2042" t="s">
        <v>266</v>
      </c>
    </row>
    <row r="2043" spans="1:7" x14ac:dyDescent="0.3">
      <c r="A2043" s="42">
        <v>45904</v>
      </c>
      <c r="B2043" s="43">
        <v>0.45581018518518518</v>
      </c>
      <c r="C2043" t="s">
        <v>152</v>
      </c>
      <c r="D2043" t="s">
        <v>49</v>
      </c>
      <c r="E2043" t="s">
        <v>288</v>
      </c>
      <c r="F2043">
        <v>-23500</v>
      </c>
      <c r="G2043" t="s">
        <v>154</v>
      </c>
    </row>
    <row r="2044" spans="1:7" x14ac:dyDescent="0.3">
      <c r="A2044" s="42">
        <v>45904</v>
      </c>
      <c r="B2044" s="43">
        <v>0.45043981481481482</v>
      </c>
      <c r="C2044" t="s">
        <v>152</v>
      </c>
      <c r="D2044" t="s">
        <v>50</v>
      </c>
      <c r="E2044" t="s">
        <v>788</v>
      </c>
      <c r="F2044">
        <v>-46500</v>
      </c>
      <c r="G2044" t="s">
        <v>186</v>
      </c>
    </row>
    <row r="2045" spans="1:7" x14ac:dyDescent="0.3">
      <c r="A2045" s="42">
        <v>45904</v>
      </c>
      <c r="B2045" s="43">
        <v>0.35047453703703701</v>
      </c>
      <c r="C2045" t="s">
        <v>152</v>
      </c>
      <c r="D2045" t="s">
        <v>44</v>
      </c>
      <c r="E2045" t="s">
        <v>536</v>
      </c>
      <c r="F2045">
        <v>-49064</v>
      </c>
      <c r="G2045" t="s">
        <v>154</v>
      </c>
    </row>
    <row r="2046" spans="1:7" x14ac:dyDescent="0.3">
      <c r="A2046" s="42">
        <v>45904</v>
      </c>
      <c r="B2046" s="43">
        <v>0.33401620370370372</v>
      </c>
      <c r="C2046" t="s">
        <v>152</v>
      </c>
      <c r="D2046" t="s">
        <v>49</v>
      </c>
      <c r="E2046" t="s">
        <v>789</v>
      </c>
      <c r="F2046">
        <v>-3100</v>
      </c>
      <c r="G2046" t="s">
        <v>186</v>
      </c>
    </row>
    <row r="2047" spans="1:7" x14ac:dyDescent="0.3">
      <c r="A2047" s="42">
        <v>45903</v>
      </c>
      <c r="B2047" s="43">
        <v>0.86348379629629635</v>
      </c>
      <c r="C2047" t="s">
        <v>155</v>
      </c>
      <c r="D2047" t="s">
        <v>155</v>
      </c>
      <c r="E2047" t="s">
        <v>210</v>
      </c>
      <c r="F2047">
        <v>213000</v>
      </c>
      <c r="G2047" t="s">
        <v>60</v>
      </c>
    </row>
    <row r="2048" spans="1:7" x14ac:dyDescent="0.3">
      <c r="A2048" s="42">
        <v>45903</v>
      </c>
      <c r="B2048" s="43">
        <v>0.83468750000000003</v>
      </c>
      <c r="C2048" t="s">
        <v>152</v>
      </c>
      <c r="D2048" t="s">
        <v>38</v>
      </c>
      <c r="E2048" t="s">
        <v>790</v>
      </c>
      <c r="F2048">
        <v>-100000</v>
      </c>
      <c r="G2048" t="s">
        <v>60</v>
      </c>
    </row>
    <row r="2049" spans="1:7" x14ac:dyDescent="0.3">
      <c r="A2049" s="42">
        <v>45903</v>
      </c>
      <c r="B2049" s="43">
        <v>0.67320601851851847</v>
      </c>
      <c r="C2049" t="s">
        <v>152</v>
      </c>
      <c r="D2049" t="s">
        <v>40</v>
      </c>
      <c r="E2049" t="s">
        <v>425</v>
      </c>
      <c r="F2049">
        <v>-50960</v>
      </c>
      <c r="G2049" t="s">
        <v>180</v>
      </c>
    </row>
    <row r="2050" spans="1:7" x14ac:dyDescent="0.3">
      <c r="A2050" s="42">
        <v>45903</v>
      </c>
      <c r="B2050" s="43">
        <v>0.6587615740740741</v>
      </c>
      <c r="C2050" t="s">
        <v>152</v>
      </c>
      <c r="D2050" t="s">
        <v>50</v>
      </c>
      <c r="E2050" t="s">
        <v>352</v>
      </c>
      <c r="F2050">
        <v>-144300</v>
      </c>
      <c r="G2050" t="s">
        <v>180</v>
      </c>
    </row>
    <row r="2051" spans="1:7" x14ac:dyDescent="0.3">
      <c r="A2051" s="42">
        <v>45903</v>
      </c>
      <c r="B2051" s="43">
        <v>0.36184027777777777</v>
      </c>
      <c r="C2051" t="s">
        <v>152</v>
      </c>
      <c r="D2051" t="s">
        <v>50</v>
      </c>
      <c r="E2051" t="s">
        <v>184</v>
      </c>
      <c r="F2051">
        <v>-1600</v>
      </c>
      <c r="G2051" t="s">
        <v>186</v>
      </c>
    </row>
    <row r="2052" spans="1:7" x14ac:dyDescent="0.3">
      <c r="A2052" s="42">
        <v>45902</v>
      </c>
      <c r="B2052" s="43">
        <v>0.91030092592592593</v>
      </c>
      <c r="C2052" t="s">
        <v>152</v>
      </c>
      <c r="D2052" t="s">
        <v>44</v>
      </c>
      <c r="E2052" t="s">
        <v>190</v>
      </c>
      <c r="F2052">
        <v>-4190</v>
      </c>
      <c r="G2052" t="s">
        <v>154</v>
      </c>
    </row>
    <row r="2053" spans="1:7" x14ac:dyDescent="0.3">
      <c r="A2053" s="42">
        <v>45902</v>
      </c>
      <c r="B2053" s="43">
        <v>0.86983796296296301</v>
      </c>
      <c r="C2053" t="s">
        <v>152</v>
      </c>
      <c r="D2053" t="s">
        <v>47</v>
      </c>
      <c r="E2053" t="s">
        <v>332</v>
      </c>
      <c r="F2053">
        <v>150000</v>
      </c>
      <c r="G2053" t="s">
        <v>186</v>
      </c>
    </row>
    <row r="2054" spans="1:7" x14ac:dyDescent="0.3">
      <c r="A2054" s="42">
        <v>45902</v>
      </c>
      <c r="B2054" s="43">
        <v>0.86981481481481482</v>
      </c>
      <c r="C2054" t="s">
        <v>152</v>
      </c>
      <c r="D2054" t="s">
        <v>47</v>
      </c>
      <c r="E2054" t="s">
        <v>332</v>
      </c>
      <c r="F2054">
        <v>-72000</v>
      </c>
      <c r="G2054" t="s">
        <v>186</v>
      </c>
    </row>
    <row r="2055" spans="1:7" x14ac:dyDescent="0.3">
      <c r="A2055" s="42">
        <v>45902</v>
      </c>
      <c r="B2055" s="43">
        <v>0.86827546296296299</v>
      </c>
      <c r="C2055" t="s">
        <v>152</v>
      </c>
      <c r="D2055" t="s">
        <v>47</v>
      </c>
      <c r="E2055" t="s">
        <v>332</v>
      </c>
      <c r="F2055">
        <v>-150000</v>
      </c>
      <c r="G2055" t="s">
        <v>186</v>
      </c>
    </row>
    <row r="2056" spans="1:7" x14ac:dyDescent="0.3">
      <c r="A2056" s="42">
        <v>45902</v>
      </c>
      <c r="B2056" s="43">
        <v>0.83245370370370375</v>
      </c>
      <c r="C2056" t="s">
        <v>155</v>
      </c>
      <c r="D2056" t="s">
        <v>155</v>
      </c>
      <c r="E2056" t="s">
        <v>791</v>
      </c>
      <c r="F2056">
        <v>-10000</v>
      </c>
      <c r="G2056" t="s">
        <v>158</v>
      </c>
    </row>
    <row r="2057" spans="1:7" x14ac:dyDescent="0.3">
      <c r="A2057" s="42">
        <v>45902</v>
      </c>
      <c r="B2057" s="43">
        <v>0.66754629629629625</v>
      </c>
      <c r="C2057" t="s">
        <v>152</v>
      </c>
      <c r="D2057" t="s">
        <v>50</v>
      </c>
      <c r="E2057" t="s">
        <v>325</v>
      </c>
      <c r="F2057">
        <v>-19920</v>
      </c>
      <c r="G2057" t="s">
        <v>182</v>
      </c>
    </row>
    <row r="2058" spans="1:7" x14ac:dyDescent="0.3">
      <c r="A2058" s="42">
        <v>45902</v>
      </c>
      <c r="B2058" s="43">
        <v>0.64923611111111112</v>
      </c>
      <c r="C2058" t="s">
        <v>152</v>
      </c>
      <c r="D2058" t="s">
        <v>40</v>
      </c>
      <c r="E2058" t="s">
        <v>792</v>
      </c>
      <c r="F2058">
        <v>-20000</v>
      </c>
      <c r="G2058" t="s">
        <v>186</v>
      </c>
    </row>
    <row r="2059" spans="1:7" x14ac:dyDescent="0.3">
      <c r="A2059" s="42">
        <v>45902</v>
      </c>
      <c r="B2059" s="43">
        <v>0.56020833333333331</v>
      </c>
      <c r="C2059" t="s">
        <v>152</v>
      </c>
      <c r="D2059" t="s">
        <v>36</v>
      </c>
      <c r="E2059" t="s">
        <v>250</v>
      </c>
      <c r="F2059">
        <v>-46200</v>
      </c>
      <c r="G2059" t="s">
        <v>180</v>
      </c>
    </row>
    <row r="2060" spans="1:7" x14ac:dyDescent="0.3">
      <c r="A2060" s="42">
        <v>45901</v>
      </c>
      <c r="B2060" s="43">
        <v>0.89208333333333334</v>
      </c>
      <c r="C2060" t="s">
        <v>152</v>
      </c>
      <c r="D2060" t="s">
        <v>40</v>
      </c>
      <c r="E2060" t="s">
        <v>793</v>
      </c>
      <c r="F2060">
        <v>-1700</v>
      </c>
      <c r="G2060" t="s">
        <v>186</v>
      </c>
    </row>
    <row r="2061" spans="1:7" x14ac:dyDescent="0.3">
      <c r="A2061" s="42">
        <v>45901</v>
      </c>
      <c r="B2061" s="43">
        <v>0.8762847222222222</v>
      </c>
      <c r="C2061" t="s">
        <v>152</v>
      </c>
      <c r="D2061" t="s">
        <v>40</v>
      </c>
      <c r="E2061" t="s">
        <v>794</v>
      </c>
      <c r="F2061">
        <v>-4400</v>
      </c>
      <c r="G2061" t="s">
        <v>186</v>
      </c>
    </row>
    <row r="2062" spans="1:7" x14ac:dyDescent="0.3">
      <c r="A2062" s="42">
        <v>45901</v>
      </c>
      <c r="B2062" s="43">
        <v>0.82673611111111112</v>
      </c>
      <c r="C2062" t="s">
        <v>155</v>
      </c>
      <c r="D2062" t="s">
        <v>213</v>
      </c>
      <c r="E2062" t="s">
        <v>795</v>
      </c>
      <c r="F2062">
        <v>-64350</v>
      </c>
      <c r="G2062" t="s">
        <v>61</v>
      </c>
    </row>
    <row r="2063" spans="1:7" x14ac:dyDescent="0.3">
      <c r="A2063" s="42">
        <v>45901</v>
      </c>
      <c r="B2063" s="43">
        <v>0.58134259259259258</v>
      </c>
      <c r="C2063" t="s">
        <v>152</v>
      </c>
      <c r="D2063" t="s">
        <v>49</v>
      </c>
      <c r="E2063" t="s">
        <v>796</v>
      </c>
      <c r="F2063">
        <v>-15000</v>
      </c>
      <c r="G2063" t="s">
        <v>186</v>
      </c>
    </row>
    <row r="2064" spans="1:7" x14ac:dyDescent="0.3">
      <c r="A2064" s="42">
        <v>45901</v>
      </c>
      <c r="B2064" s="43">
        <v>0.42115740740740742</v>
      </c>
      <c r="C2064" t="s">
        <v>152</v>
      </c>
      <c r="D2064" t="s">
        <v>36</v>
      </c>
      <c r="E2064" t="s">
        <v>243</v>
      </c>
      <c r="F2064">
        <v>-1500</v>
      </c>
      <c r="G2064" t="s">
        <v>161</v>
      </c>
    </row>
    <row r="2065" spans="1:7" x14ac:dyDescent="0.3">
      <c r="A2065" s="42">
        <v>45901</v>
      </c>
      <c r="B2065" s="43">
        <v>0.42115740740740742</v>
      </c>
      <c r="C2065" t="s">
        <v>152</v>
      </c>
      <c r="D2065" t="s">
        <v>36</v>
      </c>
      <c r="E2065" t="s">
        <v>244</v>
      </c>
      <c r="F2065">
        <v>-2000</v>
      </c>
      <c r="G2065" t="s">
        <v>161</v>
      </c>
    </row>
    <row r="2066" spans="1:7" x14ac:dyDescent="0.3">
      <c r="A2066" s="42">
        <v>45901</v>
      </c>
      <c r="B2066" s="43">
        <v>0.32506944444444452</v>
      </c>
      <c r="C2066" t="s">
        <v>152</v>
      </c>
      <c r="D2066" t="s">
        <v>40</v>
      </c>
      <c r="E2066" t="s">
        <v>447</v>
      </c>
      <c r="F2066">
        <v>-6100</v>
      </c>
      <c r="G2066" t="s">
        <v>186</v>
      </c>
    </row>
    <row r="2067" spans="1:7" x14ac:dyDescent="0.3">
      <c r="A2067" s="42">
        <v>45900</v>
      </c>
      <c r="B2067" s="43">
        <v>0.77584490740740741</v>
      </c>
      <c r="C2067" t="s">
        <v>152</v>
      </c>
      <c r="D2067" t="s">
        <v>49</v>
      </c>
      <c r="E2067" t="s">
        <v>469</v>
      </c>
      <c r="F2067">
        <v>-3600</v>
      </c>
      <c r="G2067" t="s">
        <v>266</v>
      </c>
    </row>
    <row r="2068" spans="1:7" x14ac:dyDescent="0.3">
      <c r="A2068" s="42">
        <v>45900</v>
      </c>
      <c r="B2068" s="43">
        <v>0.7669907407407407</v>
      </c>
      <c r="C2068" t="s">
        <v>152</v>
      </c>
      <c r="D2068" t="s">
        <v>42</v>
      </c>
      <c r="E2068" t="s">
        <v>797</v>
      </c>
      <c r="F2068">
        <v>-11900</v>
      </c>
      <c r="G2068" t="s">
        <v>266</v>
      </c>
    </row>
    <row r="2069" spans="1:7" x14ac:dyDescent="0.3">
      <c r="A2069" s="42">
        <v>45900</v>
      </c>
      <c r="B2069" s="43">
        <v>0.76296296296296295</v>
      </c>
      <c r="C2069" t="s">
        <v>152</v>
      </c>
      <c r="D2069" t="s">
        <v>39</v>
      </c>
      <c r="E2069" t="s">
        <v>391</v>
      </c>
      <c r="F2069">
        <v>-18000</v>
      </c>
      <c r="G2069" t="s">
        <v>266</v>
      </c>
    </row>
    <row r="2070" spans="1:7" x14ac:dyDescent="0.3">
      <c r="A2070" s="42">
        <v>45900</v>
      </c>
      <c r="B2070" s="43">
        <v>0.45447916666666671</v>
      </c>
      <c r="C2070" t="s">
        <v>152</v>
      </c>
      <c r="D2070" t="s">
        <v>44</v>
      </c>
      <c r="E2070" t="s">
        <v>473</v>
      </c>
      <c r="F2070">
        <v>-7890</v>
      </c>
      <c r="G2070" t="s">
        <v>266</v>
      </c>
    </row>
    <row r="2071" spans="1:7" x14ac:dyDescent="0.3">
      <c r="A2071" s="42">
        <v>45900</v>
      </c>
      <c r="B2071" s="43">
        <v>0.41275462962962961</v>
      </c>
      <c r="C2071" t="s">
        <v>152</v>
      </c>
      <c r="D2071" t="s">
        <v>36</v>
      </c>
      <c r="E2071" t="s">
        <v>244</v>
      </c>
      <c r="F2071">
        <v>-500</v>
      </c>
      <c r="G2071" t="s">
        <v>161</v>
      </c>
    </row>
    <row r="2072" spans="1:7" x14ac:dyDescent="0.3">
      <c r="A2072" s="42">
        <v>45900</v>
      </c>
      <c r="B2072" s="43">
        <v>0.41275462962962961</v>
      </c>
      <c r="C2072" t="s">
        <v>152</v>
      </c>
      <c r="D2072" t="s">
        <v>36</v>
      </c>
      <c r="E2072" t="s">
        <v>226</v>
      </c>
      <c r="F2072">
        <v>-3000</v>
      </c>
      <c r="G2072" t="s">
        <v>161</v>
      </c>
    </row>
    <row r="2073" spans="1:7" x14ac:dyDescent="0.3">
      <c r="A2073" s="42">
        <v>45899</v>
      </c>
      <c r="B2073" s="43">
        <v>0.88458333333333339</v>
      </c>
      <c r="C2073" t="s">
        <v>152</v>
      </c>
      <c r="D2073" t="s">
        <v>44</v>
      </c>
      <c r="E2073" t="s">
        <v>190</v>
      </c>
      <c r="F2073">
        <v>-11700</v>
      </c>
      <c r="G2073" t="s">
        <v>154</v>
      </c>
    </row>
    <row r="2074" spans="1:7" x14ac:dyDescent="0.3">
      <c r="A2074" s="42">
        <v>45899</v>
      </c>
      <c r="B2074" s="43">
        <v>0.41340277777777779</v>
      </c>
      <c r="C2074" t="s">
        <v>152</v>
      </c>
      <c r="D2074" t="s">
        <v>36</v>
      </c>
      <c r="E2074" t="s">
        <v>274</v>
      </c>
      <c r="F2074">
        <v>-250</v>
      </c>
      <c r="G2074" t="s">
        <v>161</v>
      </c>
    </row>
    <row r="2075" spans="1:7" x14ac:dyDescent="0.3">
      <c r="A2075" s="42">
        <v>45899</v>
      </c>
      <c r="B2075" s="43">
        <v>0.41340277777777779</v>
      </c>
      <c r="C2075" t="s">
        <v>152</v>
      </c>
      <c r="D2075" t="s">
        <v>36</v>
      </c>
      <c r="E2075" t="s">
        <v>243</v>
      </c>
      <c r="F2075">
        <v>-1500</v>
      </c>
      <c r="G2075" t="s">
        <v>161</v>
      </c>
    </row>
    <row r="2076" spans="1:7" x14ac:dyDescent="0.3">
      <c r="A2076" s="42">
        <v>45898</v>
      </c>
      <c r="B2076" s="43">
        <v>0.8467824074074074</v>
      </c>
      <c r="C2076" t="s">
        <v>152</v>
      </c>
      <c r="D2076" t="s">
        <v>38</v>
      </c>
      <c r="E2076" t="s">
        <v>715</v>
      </c>
      <c r="F2076">
        <v>951</v>
      </c>
      <c r="G2076" t="s">
        <v>236</v>
      </c>
    </row>
    <row r="2077" spans="1:7" x14ac:dyDescent="0.3">
      <c r="A2077" s="42">
        <v>45898</v>
      </c>
      <c r="B2077" s="43">
        <v>0.84563657407407411</v>
      </c>
      <c r="C2077" t="s">
        <v>152</v>
      </c>
      <c r="D2077" t="s">
        <v>38</v>
      </c>
      <c r="E2077" t="s">
        <v>715</v>
      </c>
      <c r="F2077">
        <v>-951</v>
      </c>
      <c r="G2077" t="s">
        <v>236</v>
      </c>
    </row>
    <row r="2078" spans="1:7" x14ac:dyDescent="0.3">
      <c r="A2078" s="42">
        <v>45898</v>
      </c>
      <c r="B2078" s="43">
        <v>0.7852662037037037</v>
      </c>
      <c r="C2078" t="s">
        <v>152</v>
      </c>
      <c r="D2078" t="s">
        <v>44</v>
      </c>
      <c r="E2078" t="s">
        <v>190</v>
      </c>
      <c r="F2078">
        <v>-23400</v>
      </c>
      <c r="G2078" t="s">
        <v>154</v>
      </c>
    </row>
    <row r="2079" spans="1:7" x14ac:dyDescent="0.3">
      <c r="A2079" s="42">
        <v>45898</v>
      </c>
      <c r="B2079" s="43">
        <v>0.65562500000000001</v>
      </c>
      <c r="C2079" t="s">
        <v>155</v>
      </c>
      <c r="D2079" t="s">
        <v>155</v>
      </c>
      <c r="E2079" t="s">
        <v>798</v>
      </c>
      <c r="F2079">
        <v>15000</v>
      </c>
      <c r="G2079" t="s">
        <v>158</v>
      </c>
    </row>
    <row r="2080" spans="1:7" x14ac:dyDescent="0.3">
      <c r="A2080" s="42">
        <v>45898</v>
      </c>
      <c r="B2080" s="43">
        <v>0.65541666666666665</v>
      </c>
      <c r="C2080" t="s">
        <v>155</v>
      </c>
      <c r="D2080" t="s">
        <v>155</v>
      </c>
      <c r="E2080" t="s">
        <v>799</v>
      </c>
      <c r="F2080">
        <v>15000</v>
      </c>
      <c r="G2080" t="s">
        <v>158</v>
      </c>
    </row>
    <row r="2081" spans="1:7" x14ac:dyDescent="0.3">
      <c r="A2081" s="42">
        <v>45898</v>
      </c>
      <c r="B2081" s="43">
        <v>0.65533564814814815</v>
      </c>
      <c r="C2081" t="s">
        <v>155</v>
      </c>
      <c r="D2081" t="s">
        <v>155</v>
      </c>
      <c r="E2081" t="s">
        <v>800</v>
      </c>
      <c r="F2081">
        <v>15000</v>
      </c>
      <c r="G2081" t="s">
        <v>158</v>
      </c>
    </row>
    <row r="2082" spans="1:7" x14ac:dyDescent="0.3">
      <c r="A2082" s="42">
        <v>45898</v>
      </c>
      <c r="B2082" s="43">
        <v>0.65525462962962966</v>
      </c>
      <c r="C2082" t="s">
        <v>155</v>
      </c>
      <c r="D2082" t="s">
        <v>155</v>
      </c>
      <c r="E2082" t="s">
        <v>801</v>
      </c>
      <c r="F2082">
        <v>15000</v>
      </c>
      <c r="G2082" t="s">
        <v>158</v>
      </c>
    </row>
    <row r="2083" spans="1:7" x14ac:dyDescent="0.3">
      <c r="A2083" s="42">
        <v>45898</v>
      </c>
      <c r="B2083" s="43">
        <v>0.65501157407407407</v>
      </c>
      <c r="C2083" t="s">
        <v>155</v>
      </c>
      <c r="D2083" t="s">
        <v>155</v>
      </c>
      <c r="E2083" t="s">
        <v>166</v>
      </c>
      <c r="F2083">
        <v>-28000</v>
      </c>
      <c r="G2083" t="s">
        <v>61</v>
      </c>
    </row>
    <row r="2084" spans="1:7" x14ac:dyDescent="0.3">
      <c r="A2084" s="42">
        <v>45898</v>
      </c>
      <c r="B2084" s="43">
        <v>0.52177083333333329</v>
      </c>
      <c r="C2084" t="s">
        <v>155</v>
      </c>
      <c r="D2084" t="s">
        <v>155</v>
      </c>
      <c r="E2084" t="s">
        <v>802</v>
      </c>
      <c r="F2084">
        <v>9000</v>
      </c>
      <c r="G2084" t="s">
        <v>61</v>
      </c>
    </row>
    <row r="2085" spans="1:7" x14ac:dyDescent="0.3">
      <c r="A2085" s="42">
        <v>45898</v>
      </c>
      <c r="B2085" s="43">
        <v>0.41645833333333332</v>
      </c>
      <c r="C2085" t="s">
        <v>152</v>
      </c>
      <c r="D2085" t="s">
        <v>36</v>
      </c>
      <c r="E2085" t="s">
        <v>274</v>
      </c>
      <c r="F2085">
        <v>-250</v>
      </c>
      <c r="G2085" t="s">
        <v>161</v>
      </c>
    </row>
    <row r="2086" spans="1:7" x14ac:dyDescent="0.3">
      <c r="A2086" s="42">
        <v>45898</v>
      </c>
      <c r="B2086" s="43">
        <v>0.41645833333333332</v>
      </c>
      <c r="C2086" t="s">
        <v>152</v>
      </c>
      <c r="D2086" t="s">
        <v>36</v>
      </c>
      <c r="E2086" t="s">
        <v>243</v>
      </c>
      <c r="F2086">
        <v>-1500</v>
      </c>
      <c r="G2086" t="s">
        <v>161</v>
      </c>
    </row>
    <row r="2087" spans="1:7" x14ac:dyDescent="0.3">
      <c r="A2087" s="42">
        <v>45898</v>
      </c>
      <c r="B2087" s="43">
        <v>0.36314814814814822</v>
      </c>
      <c r="C2087" t="s">
        <v>152</v>
      </c>
      <c r="D2087" t="s">
        <v>44</v>
      </c>
      <c r="E2087" t="s">
        <v>430</v>
      </c>
      <c r="F2087">
        <v>-19600</v>
      </c>
      <c r="G2087" t="s">
        <v>266</v>
      </c>
    </row>
    <row r="2088" spans="1:7" x14ac:dyDescent="0.3">
      <c r="A2088" s="42">
        <v>45898</v>
      </c>
      <c r="B2088" s="43">
        <v>0.36280092592592589</v>
      </c>
      <c r="C2088" t="s">
        <v>152</v>
      </c>
      <c r="D2088" t="s">
        <v>50</v>
      </c>
      <c r="E2088" t="s">
        <v>184</v>
      </c>
      <c r="F2088">
        <v>-1600</v>
      </c>
      <c r="G2088" t="s">
        <v>266</v>
      </c>
    </row>
    <row r="2089" spans="1:7" x14ac:dyDescent="0.3">
      <c r="A2089" s="42">
        <v>45898</v>
      </c>
      <c r="B2089" s="43">
        <v>0.35218749999999999</v>
      </c>
      <c r="C2089" t="s">
        <v>152</v>
      </c>
      <c r="D2089" t="s">
        <v>49</v>
      </c>
      <c r="E2089" t="s">
        <v>803</v>
      </c>
      <c r="F2089">
        <v>-36600</v>
      </c>
      <c r="G2089" t="s">
        <v>266</v>
      </c>
    </row>
    <row r="2090" spans="1:7" x14ac:dyDescent="0.3">
      <c r="A2090" s="42">
        <v>45898</v>
      </c>
      <c r="B2090" s="43">
        <v>0.34751157407407413</v>
      </c>
      <c r="C2090" t="s">
        <v>152</v>
      </c>
      <c r="D2090" t="s">
        <v>40</v>
      </c>
      <c r="E2090" t="s">
        <v>455</v>
      </c>
      <c r="F2090">
        <v>-5000</v>
      </c>
      <c r="G2090" t="s">
        <v>266</v>
      </c>
    </row>
    <row r="2091" spans="1:7" x14ac:dyDescent="0.3">
      <c r="A2091" s="42">
        <v>45898</v>
      </c>
      <c r="B2091" s="43">
        <v>0.30898148148148152</v>
      </c>
      <c r="C2091" t="s">
        <v>152</v>
      </c>
      <c r="D2091" t="s">
        <v>36</v>
      </c>
      <c r="E2091" t="s">
        <v>250</v>
      </c>
      <c r="F2091">
        <v>-45700</v>
      </c>
      <c r="G2091" t="s">
        <v>266</v>
      </c>
    </row>
    <row r="2092" spans="1:7" x14ac:dyDescent="0.3">
      <c r="A2092" s="42">
        <v>45897</v>
      </c>
      <c r="B2092" s="43">
        <v>0.82798611111111109</v>
      </c>
      <c r="C2092" t="s">
        <v>152</v>
      </c>
      <c r="D2092" t="s">
        <v>37</v>
      </c>
      <c r="E2092" t="s">
        <v>498</v>
      </c>
      <c r="F2092">
        <v>-14300</v>
      </c>
      <c r="G2092" t="s">
        <v>266</v>
      </c>
    </row>
    <row r="2093" spans="1:7" x14ac:dyDescent="0.3">
      <c r="A2093" s="42">
        <v>45897</v>
      </c>
      <c r="B2093" s="43">
        <v>0.72291666666666665</v>
      </c>
      <c r="C2093" t="s">
        <v>155</v>
      </c>
      <c r="D2093" t="s">
        <v>155</v>
      </c>
      <c r="E2093" t="s">
        <v>804</v>
      </c>
      <c r="F2093">
        <v>-30000</v>
      </c>
      <c r="G2093" t="s">
        <v>60</v>
      </c>
    </row>
    <row r="2094" spans="1:7" x14ac:dyDescent="0.3">
      <c r="A2094" s="42">
        <v>45897</v>
      </c>
      <c r="B2094" s="43">
        <v>0.70188657407407407</v>
      </c>
      <c r="C2094" t="s">
        <v>152</v>
      </c>
      <c r="D2094" t="s">
        <v>44</v>
      </c>
      <c r="E2094" t="s">
        <v>444</v>
      </c>
      <c r="F2094">
        <v>-115480</v>
      </c>
      <c r="G2094" t="s">
        <v>186</v>
      </c>
    </row>
    <row r="2095" spans="1:7" x14ac:dyDescent="0.3">
      <c r="A2095" s="42">
        <v>45897</v>
      </c>
      <c r="B2095" s="43">
        <v>0.41609953703703711</v>
      </c>
      <c r="C2095" t="s">
        <v>152</v>
      </c>
      <c r="D2095" t="s">
        <v>36</v>
      </c>
      <c r="E2095" t="s">
        <v>243</v>
      </c>
      <c r="F2095">
        <v>-1500</v>
      </c>
      <c r="G2095" t="s">
        <v>161</v>
      </c>
    </row>
    <row r="2096" spans="1:7" x14ac:dyDescent="0.3">
      <c r="A2096" s="42">
        <v>45897</v>
      </c>
      <c r="B2096" s="43">
        <v>0.41609953703703711</v>
      </c>
      <c r="C2096" t="s">
        <v>152</v>
      </c>
      <c r="D2096" t="s">
        <v>36</v>
      </c>
      <c r="E2096" t="s">
        <v>244</v>
      </c>
      <c r="F2096">
        <v>-2200</v>
      </c>
      <c r="G2096" t="s">
        <v>161</v>
      </c>
    </row>
    <row r="2097" spans="1:7" x14ac:dyDescent="0.3">
      <c r="A2097" s="42">
        <v>45896</v>
      </c>
      <c r="B2097" s="43">
        <v>0.65560185185185182</v>
      </c>
      <c r="C2097" t="s">
        <v>152</v>
      </c>
      <c r="D2097" t="s">
        <v>50</v>
      </c>
      <c r="E2097" t="s">
        <v>353</v>
      </c>
      <c r="F2097">
        <v>-1800</v>
      </c>
      <c r="G2097" t="s">
        <v>266</v>
      </c>
    </row>
    <row r="2098" spans="1:7" x14ac:dyDescent="0.3">
      <c r="A2098" s="42">
        <v>45896</v>
      </c>
      <c r="B2098" s="43">
        <v>0.50678240740740743</v>
      </c>
      <c r="C2098" t="s">
        <v>152</v>
      </c>
      <c r="D2098" t="s">
        <v>47</v>
      </c>
      <c r="E2098" t="s">
        <v>759</v>
      </c>
      <c r="F2098">
        <v>-300</v>
      </c>
      <c r="G2098" t="s">
        <v>266</v>
      </c>
    </row>
    <row r="2099" spans="1:7" x14ac:dyDescent="0.3">
      <c r="A2099" s="42">
        <v>45896</v>
      </c>
      <c r="B2099" s="43">
        <v>0.46760416666666671</v>
      </c>
      <c r="C2099" t="s">
        <v>152</v>
      </c>
      <c r="D2099" t="s">
        <v>42</v>
      </c>
      <c r="E2099" t="s">
        <v>307</v>
      </c>
      <c r="F2099">
        <v>-15000</v>
      </c>
      <c r="G2099" t="s">
        <v>266</v>
      </c>
    </row>
    <row r="2100" spans="1:7" x14ac:dyDescent="0.3">
      <c r="A2100" s="42">
        <v>45895</v>
      </c>
      <c r="B2100" s="43">
        <v>0.88920138888888889</v>
      </c>
      <c r="C2100" t="s">
        <v>152</v>
      </c>
      <c r="D2100" t="s">
        <v>46</v>
      </c>
      <c r="E2100" t="s">
        <v>805</v>
      </c>
      <c r="F2100">
        <v>-33300</v>
      </c>
      <c r="G2100" t="s">
        <v>182</v>
      </c>
    </row>
    <row r="2101" spans="1:7" x14ac:dyDescent="0.3">
      <c r="A2101" s="42">
        <v>45895</v>
      </c>
      <c r="B2101" s="43">
        <v>0.88862268518518517</v>
      </c>
      <c r="C2101" t="s">
        <v>152</v>
      </c>
      <c r="D2101" t="s">
        <v>46</v>
      </c>
      <c r="E2101" t="s">
        <v>805</v>
      </c>
      <c r="F2101">
        <v>33300</v>
      </c>
      <c r="G2101" t="s">
        <v>182</v>
      </c>
    </row>
    <row r="2102" spans="1:7" x14ac:dyDescent="0.3">
      <c r="A2102" s="42">
        <v>45895</v>
      </c>
      <c r="B2102" s="43">
        <v>0.88790509259259254</v>
      </c>
      <c r="C2102" t="s">
        <v>152</v>
      </c>
      <c r="D2102" t="s">
        <v>46</v>
      </c>
      <c r="E2102" t="s">
        <v>805</v>
      </c>
      <c r="F2102">
        <v>-33300</v>
      </c>
      <c r="G2102" t="s">
        <v>182</v>
      </c>
    </row>
    <row r="2103" spans="1:7" x14ac:dyDescent="0.3">
      <c r="A2103" s="42">
        <v>45895</v>
      </c>
      <c r="B2103" s="43">
        <v>0.64601851851851855</v>
      </c>
      <c r="C2103" t="s">
        <v>155</v>
      </c>
      <c r="D2103" t="s">
        <v>217</v>
      </c>
      <c r="E2103" t="s">
        <v>786</v>
      </c>
      <c r="F2103">
        <v>12370</v>
      </c>
      <c r="G2103" t="s">
        <v>61</v>
      </c>
    </row>
    <row r="2104" spans="1:7" x14ac:dyDescent="0.3">
      <c r="A2104" s="42">
        <v>45895</v>
      </c>
      <c r="B2104" s="43">
        <v>0.45462962962962961</v>
      </c>
      <c r="C2104" t="s">
        <v>152</v>
      </c>
      <c r="D2104" t="s">
        <v>42</v>
      </c>
      <c r="E2104" t="s">
        <v>492</v>
      </c>
      <c r="F2104">
        <v>-12100</v>
      </c>
      <c r="G2104" t="s">
        <v>266</v>
      </c>
    </row>
    <row r="2105" spans="1:7" x14ac:dyDescent="0.3">
      <c r="A2105" s="42">
        <v>45895</v>
      </c>
      <c r="B2105" s="43">
        <v>0.42129629629629628</v>
      </c>
      <c r="C2105" t="s">
        <v>152</v>
      </c>
      <c r="D2105" t="s">
        <v>40</v>
      </c>
      <c r="E2105" t="s">
        <v>806</v>
      </c>
      <c r="F2105">
        <v>-1000</v>
      </c>
      <c r="G2105" t="s">
        <v>266</v>
      </c>
    </row>
    <row r="2106" spans="1:7" x14ac:dyDescent="0.3">
      <c r="A2106" s="42">
        <v>45894</v>
      </c>
      <c r="B2106" s="43">
        <v>0.86796296296296294</v>
      </c>
      <c r="C2106" t="s">
        <v>152</v>
      </c>
      <c r="D2106" t="s">
        <v>37</v>
      </c>
      <c r="E2106" t="s">
        <v>807</v>
      </c>
      <c r="F2106">
        <v>-16900</v>
      </c>
      <c r="G2106" t="s">
        <v>60</v>
      </c>
    </row>
    <row r="2107" spans="1:7" x14ac:dyDescent="0.3">
      <c r="A2107" s="42">
        <v>45894</v>
      </c>
      <c r="B2107" s="43">
        <v>0.85726851851851849</v>
      </c>
      <c r="C2107" t="s">
        <v>152</v>
      </c>
      <c r="D2107" t="s">
        <v>37</v>
      </c>
      <c r="E2107" t="s">
        <v>808</v>
      </c>
      <c r="F2107">
        <v>-12555</v>
      </c>
      <c r="G2107" t="s">
        <v>61</v>
      </c>
    </row>
    <row r="2108" spans="1:7" x14ac:dyDescent="0.3">
      <c r="A2108" s="42">
        <v>45894</v>
      </c>
      <c r="B2108" s="43">
        <v>0.85499999999999998</v>
      </c>
      <c r="C2108" t="s">
        <v>152</v>
      </c>
      <c r="D2108" t="s">
        <v>37</v>
      </c>
      <c r="E2108" t="s">
        <v>809</v>
      </c>
      <c r="F2108">
        <v>-20000</v>
      </c>
      <c r="G2108" t="s">
        <v>61</v>
      </c>
    </row>
    <row r="2109" spans="1:7" x14ac:dyDescent="0.3">
      <c r="A2109" s="42">
        <v>45894</v>
      </c>
      <c r="B2109" s="43">
        <v>0.85471064814814812</v>
      </c>
      <c r="C2109" t="s">
        <v>152</v>
      </c>
      <c r="D2109" t="s">
        <v>44</v>
      </c>
      <c r="E2109" t="s">
        <v>375</v>
      </c>
      <c r="F2109">
        <v>-13510</v>
      </c>
      <c r="G2109" t="s">
        <v>266</v>
      </c>
    </row>
    <row r="2110" spans="1:7" x14ac:dyDescent="0.3">
      <c r="A2110" s="42">
        <v>45894</v>
      </c>
      <c r="B2110" s="43">
        <v>0.81172453703703706</v>
      </c>
      <c r="C2110" t="s">
        <v>152</v>
      </c>
      <c r="D2110" t="s">
        <v>37</v>
      </c>
      <c r="E2110" t="s">
        <v>810</v>
      </c>
      <c r="F2110">
        <v>-153079</v>
      </c>
      <c r="G2110" t="s">
        <v>60</v>
      </c>
    </row>
    <row r="2111" spans="1:7" x14ac:dyDescent="0.3">
      <c r="A2111" s="42">
        <v>45894</v>
      </c>
      <c r="B2111" s="43">
        <v>0.81004629629629632</v>
      </c>
      <c r="C2111" t="s">
        <v>152</v>
      </c>
      <c r="D2111" t="s">
        <v>40</v>
      </c>
      <c r="E2111" t="s">
        <v>811</v>
      </c>
      <c r="F2111">
        <v>-258304</v>
      </c>
      <c r="G2111" t="s">
        <v>61</v>
      </c>
    </row>
    <row r="2112" spans="1:7" x14ac:dyDescent="0.3">
      <c r="A2112" s="42">
        <v>45894</v>
      </c>
      <c r="B2112" s="43">
        <v>0.78973379629629625</v>
      </c>
      <c r="C2112" t="s">
        <v>152</v>
      </c>
      <c r="D2112" t="s">
        <v>37</v>
      </c>
      <c r="E2112" t="s">
        <v>256</v>
      </c>
      <c r="F2112">
        <v>-282290</v>
      </c>
      <c r="G2112" t="s">
        <v>67</v>
      </c>
    </row>
    <row r="2113" spans="1:7" x14ac:dyDescent="0.3">
      <c r="A2113" s="42">
        <v>45894</v>
      </c>
      <c r="B2113" s="43">
        <v>0.49136574074074069</v>
      </c>
      <c r="C2113" t="s">
        <v>155</v>
      </c>
      <c r="D2113" t="s">
        <v>163</v>
      </c>
      <c r="E2113" t="s">
        <v>223</v>
      </c>
      <c r="F2113">
        <v>707</v>
      </c>
      <c r="G2113" t="s">
        <v>68</v>
      </c>
    </row>
    <row r="2114" spans="1:7" x14ac:dyDescent="0.3">
      <c r="A2114" s="42">
        <v>45894</v>
      </c>
      <c r="B2114" s="43">
        <v>0.49136574074074069</v>
      </c>
      <c r="C2114" t="s">
        <v>155</v>
      </c>
      <c r="D2114" t="s">
        <v>163</v>
      </c>
      <c r="E2114" t="s">
        <v>68</v>
      </c>
      <c r="F2114">
        <v>-707</v>
      </c>
      <c r="G2114" t="s">
        <v>67</v>
      </c>
    </row>
    <row r="2115" spans="1:7" x14ac:dyDescent="0.3">
      <c r="A2115" s="42">
        <v>45894</v>
      </c>
      <c r="B2115" s="43">
        <v>0.47424768518518517</v>
      </c>
      <c r="C2115" t="s">
        <v>152</v>
      </c>
      <c r="D2115" t="s">
        <v>42</v>
      </c>
      <c r="E2115" t="s">
        <v>492</v>
      </c>
      <c r="F2115">
        <v>-10870</v>
      </c>
      <c r="G2115" t="s">
        <v>266</v>
      </c>
    </row>
    <row r="2116" spans="1:7" x14ac:dyDescent="0.3">
      <c r="A2116" s="42">
        <v>45894</v>
      </c>
      <c r="B2116" s="43">
        <v>0.44475694444444452</v>
      </c>
      <c r="C2116" t="s">
        <v>152</v>
      </c>
      <c r="D2116" t="s">
        <v>36</v>
      </c>
      <c r="E2116" t="s">
        <v>243</v>
      </c>
      <c r="F2116">
        <v>-1500</v>
      </c>
      <c r="G2116" t="s">
        <v>161</v>
      </c>
    </row>
    <row r="2117" spans="1:7" x14ac:dyDescent="0.3">
      <c r="A2117" s="42">
        <v>45894</v>
      </c>
      <c r="B2117" s="43">
        <v>0.44474537037037037</v>
      </c>
      <c r="C2117" t="s">
        <v>152</v>
      </c>
      <c r="D2117" t="s">
        <v>36</v>
      </c>
      <c r="E2117" t="s">
        <v>244</v>
      </c>
      <c r="F2117">
        <v>-2000</v>
      </c>
      <c r="G2117" t="s">
        <v>161</v>
      </c>
    </row>
    <row r="2118" spans="1:7" x14ac:dyDescent="0.3">
      <c r="A2118" s="42">
        <v>45894</v>
      </c>
      <c r="B2118" s="43">
        <v>0.41244212962962962</v>
      </c>
      <c r="C2118" t="s">
        <v>152</v>
      </c>
      <c r="D2118" t="s">
        <v>40</v>
      </c>
      <c r="E2118" t="s">
        <v>465</v>
      </c>
      <c r="F2118">
        <v>-5800</v>
      </c>
      <c r="G2118" t="s">
        <v>266</v>
      </c>
    </row>
    <row r="2119" spans="1:7" x14ac:dyDescent="0.3">
      <c r="A2119" s="42">
        <v>45894</v>
      </c>
      <c r="B2119" s="43">
        <v>0.3659027777777778</v>
      </c>
      <c r="C2119" t="s">
        <v>152</v>
      </c>
      <c r="D2119" t="s">
        <v>49</v>
      </c>
      <c r="E2119" t="s">
        <v>368</v>
      </c>
      <c r="F2119">
        <v>-300</v>
      </c>
      <c r="G2119" t="s">
        <v>266</v>
      </c>
    </row>
    <row r="2120" spans="1:7" x14ac:dyDescent="0.3">
      <c r="A2120" s="42">
        <v>45894</v>
      </c>
      <c r="B2120" s="43">
        <v>6.0300925925925918E-2</v>
      </c>
      <c r="C2120" t="s">
        <v>155</v>
      </c>
      <c r="D2120" t="s">
        <v>217</v>
      </c>
      <c r="E2120" t="s">
        <v>603</v>
      </c>
      <c r="F2120">
        <v>100000</v>
      </c>
      <c r="G2120" t="s">
        <v>64</v>
      </c>
    </row>
    <row r="2121" spans="1:7" x14ac:dyDescent="0.3">
      <c r="A2121" s="42">
        <v>45894</v>
      </c>
      <c r="B2121" s="43">
        <v>4.8310185185185192E-2</v>
      </c>
      <c r="C2121" t="s">
        <v>176</v>
      </c>
      <c r="D2121" t="s">
        <v>29</v>
      </c>
      <c r="E2121" t="s">
        <v>509</v>
      </c>
      <c r="F2121">
        <v>500000</v>
      </c>
      <c r="G2121" t="s">
        <v>64</v>
      </c>
    </row>
    <row r="2122" spans="1:7" x14ac:dyDescent="0.3">
      <c r="A2122" s="42">
        <v>45894</v>
      </c>
      <c r="B2122" s="43">
        <v>4.2372685185185187E-2</v>
      </c>
      <c r="C2122" t="s">
        <v>152</v>
      </c>
      <c r="D2122" t="s">
        <v>48</v>
      </c>
      <c r="E2122" t="s">
        <v>251</v>
      </c>
      <c r="F2122">
        <v>-300</v>
      </c>
      <c r="G2122" t="s">
        <v>154</v>
      </c>
    </row>
    <row r="2123" spans="1:7" x14ac:dyDescent="0.3">
      <c r="A2123" s="42">
        <v>45893</v>
      </c>
      <c r="B2123" s="43">
        <v>0.54343750000000002</v>
      </c>
      <c r="C2123" t="s">
        <v>152</v>
      </c>
      <c r="D2123" t="s">
        <v>38</v>
      </c>
      <c r="E2123" t="s">
        <v>812</v>
      </c>
      <c r="F2123">
        <v>-80000</v>
      </c>
      <c r="G2123" t="s">
        <v>266</v>
      </c>
    </row>
    <row r="2124" spans="1:7" x14ac:dyDescent="0.3">
      <c r="A2124" s="42">
        <v>45893</v>
      </c>
      <c r="B2124" s="43">
        <v>0.46755787037037039</v>
      </c>
      <c r="C2124" t="s">
        <v>155</v>
      </c>
      <c r="D2124" t="s">
        <v>217</v>
      </c>
      <c r="E2124" t="s">
        <v>813</v>
      </c>
      <c r="F2124">
        <v>20226560</v>
      </c>
      <c r="G2124" t="s">
        <v>66</v>
      </c>
    </row>
    <row r="2125" spans="1:7" x14ac:dyDescent="0.3">
      <c r="A2125" s="42">
        <v>45893</v>
      </c>
      <c r="B2125" s="43">
        <v>0.41635416666666669</v>
      </c>
      <c r="C2125" t="s">
        <v>152</v>
      </c>
      <c r="D2125" t="s">
        <v>36</v>
      </c>
      <c r="E2125" t="s">
        <v>244</v>
      </c>
      <c r="F2125">
        <v>-500</v>
      </c>
      <c r="G2125" t="s">
        <v>161</v>
      </c>
    </row>
    <row r="2126" spans="1:7" x14ac:dyDescent="0.3">
      <c r="A2126" s="42">
        <v>45893</v>
      </c>
      <c r="B2126" s="43">
        <v>0.41635416666666669</v>
      </c>
      <c r="C2126" t="s">
        <v>152</v>
      </c>
      <c r="D2126" t="s">
        <v>36</v>
      </c>
      <c r="E2126" t="s">
        <v>226</v>
      </c>
      <c r="F2126">
        <v>-3000</v>
      </c>
      <c r="G2126" t="s">
        <v>161</v>
      </c>
    </row>
    <row r="2127" spans="1:7" x14ac:dyDescent="0.3">
      <c r="A2127" s="42">
        <v>45893</v>
      </c>
      <c r="B2127" s="43">
        <v>0.38046296296296289</v>
      </c>
      <c r="C2127" t="s">
        <v>152</v>
      </c>
      <c r="D2127" t="s">
        <v>44</v>
      </c>
      <c r="E2127" t="s">
        <v>190</v>
      </c>
      <c r="F2127">
        <v>-36000</v>
      </c>
      <c r="G2127" t="s">
        <v>154</v>
      </c>
    </row>
    <row r="2128" spans="1:7" x14ac:dyDescent="0.3">
      <c r="A2128" s="42">
        <v>45893</v>
      </c>
      <c r="B2128" s="43">
        <v>0.32342592592592601</v>
      </c>
      <c r="C2128" t="s">
        <v>152</v>
      </c>
      <c r="D2128" t="s">
        <v>50</v>
      </c>
      <c r="E2128" t="s">
        <v>325</v>
      </c>
      <c r="F2128">
        <v>-109370</v>
      </c>
      <c r="G2128" t="s">
        <v>182</v>
      </c>
    </row>
    <row r="2129" spans="1:7" x14ac:dyDescent="0.3">
      <c r="A2129" s="42">
        <v>45892</v>
      </c>
      <c r="B2129" s="43">
        <v>0.83731481481481485</v>
      </c>
      <c r="C2129" t="s">
        <v>152</v>
      </c>
      <c r="D2129" t="s">
        <v>49</v>
      </c>
      <c r="E2129" t="s">
        <v>469</v>
      </c>
      <c r="F2129">
        <v>-9300</v>
      </c>
      <c r="G2129" t="s">
        <v>266</v>
      </c>
    </row>
    <row r="2130" spans="1:7" x14ac:dyDescent="0.3">
      <c r="A2130" s="42">
        <v>45892</v>
      </c>
      <c r="B2130" s="43">
        <v>0.49622685185185178</v>
      </c>
      <c r="C2130" t="s">
        <v>152</v>
      </c>
      <c r="D2130" t="s">
        <v>42</v>
      </c>
      <c r="E2130" t="s">
        <v>814</v>
      </c>
      <c r="F2130">
        <v>-35900</v>
      </c>
      <c r="G2130" t="s">
        <v>266</v>
      </c>
    </row>
    <row r="2131" spans="1:7" x14ac:dyDescent="0.3">
      <c r="A2131" s="42">
        <v>45892</v>
      </c>
      <c r="B2131" s="43">
        <v>0.41606481481481478</v>
      </c>
      <c r="C2131" t="s">
        <v>152</v>
      </c>
      <c r="D2131" t="s">
        <v>36</v>
      </c>
      <c r="E2131" t="s">
        <v>244</v>
      </c>
      <c r="F2131">
        <v>-500</v>
      </c>
      <c r="G2131" t="s">
        <v>161</v>
      </c>
    </row>
    <row r="2132" spans="1:7" x14ac:dyDescent="0.3">
      <c r="A2132" s="42">
        <v>45892</v>
      </c>
      <c r="B2132" s="43">
        <v>0.41606481481481478</v>
      </c>
      <c r="C2132" t="s">
        <v>152</v>
      </c>
      <c r="D2132" t="s">
        <v>36</v>
      </c>
      <c r="E2132" t="s">
        <v>226</v>
      </c>
      <c r="F2132">
        <v>-3000</v>
      </c>
      <c r="G2132" t="s">
        <v>161</v>
      </c>
    </row>
    <row r="2133" spans="1:7" x14ac:dyDescent="0.3">
      <c r="A2133" s="42">
        <v>45892</v>
      </c>
      <c r="B2133" s="43">
        <v>0.17304398148148151</v>
      </c>
      <c r="C2133" t="s">
        <v>176</v>
      </c>
      <c r="D2133" t="s">
        <v>28</v>
      </c>
      <c r="E2133" t="s">
        <v>241</v>
      </c>
      <c r="F2133">
        <v>0</v>
      </c>
      <c r="G2133" t="s">
        <v>63</v>
      </c>
    </row>
    <row r="2134" spans="1:7" x14ac:dyDescent="0.3">
      <c r="A2134" s="42">
        <v>45892</v>
      </c>
      <c r="B2134" s="43">
        <v>0.16917824074074081</v>
      </c>
      <c r="C2134" t="s">
        <v>176</v>
      </c>
      <c r="D2134" t="s">
        <v>28</v>
      </c>
      <c r="E2134" t="s">
        <v>240</v>
      </c>
      <c r="F2134">
        <v>49</v>
      </c>
      <c r="G2134" t="s">
        <v>67</v>
      </c>
    </row>
    <row r="2135" spans="1:7" x14ac:dyDescent="0.3">
      <c r="A2135" s="42">
        <v>45892</v>
      </c>
      <c r="B2135" s="43">
        <v>0.15956018518518519</v>
      </c>
      <c r="C2135" t="s">
        <v>176</v>
      </c>
      <c r="D2135" t="s">
        <v>28</v>
      </c>
      <c r="E2135" t="s">
        <v>240</v>
      </c>
      <c r="F2135">
        <v>1108</v>
      </c>
      <c r="G2135" t="s">
        <v>67</v>
      </c>
    </row>
    <row r="2136" spans="1:7" x14ac:dyDescent="0.3">
      <c r="A2136" s="42">
        <v>45892</v>
      </c>
      <c r="B2136" s="43">
        <v>8.2384259259259254E-2</v>
      </c>
      <c r="C2136" t="s">
        <v>176</v>
      </c>
      <c r="D2136" t="s">
        <v>28</v>
      </c>
      <c r="E2136" t="s">
        <v>242</v>
      </c>
      <c r="F2136">
        <v>91</v>
      </c>
      <c r="G2136" t="s">
        <v>68</v>
      </c>
    </row>
    <row r="2137" spans="1:7" x14ac:dyDescent="0.3">
      <c r="A2137" s="42">
        <v>45891</v>
      </c>
      <c r="B2137" s="43">
        <v>0.52038194444444441</v>
      </c>
      <c r="C2137" t="s">
        <v>152</v>
      </c>
      <c r="D2137" t="s">
        <v>50</v>
      </c>
      <c r="E2137" t="s">
        <v>184</v>
      </c>
      <c r="F2137">
        <v>-8000</v>
      </c>
      <c r="G2137" t="s">
        <v>266</v>
      </c>
    </row>
    <row r="2138" spans="1:7" x14ac:dyDescent="0.3">
      <c r="A2138" s="42">
        <v>45891</v>
      </c>
      <c r="B2138" s="43">
        <v>0.42248842592592589</v>
      </c>
      <c r="C2138" t="s">
        <v>152</v>
      </c>
      <c r="D2138" t="s">
        <v>36</v>
      </c>
      <c r="E2138" t="s">
        <v>243</v>
      </c>
      <c r="F2138">
        <v>-1500</v>
      </c>
      <c r="G2138" t="s">
        <v>161</v>
      </c>
    </row>
    <row r="2139" spans="1:7" x14ac:dyDescent="0.3">
      <c r="A2139" s="42">
        <v>45891</v>
      </c>
      <c r="B2139" s="43">
        <v>0.42248842592592589</v>
      </c>
      <c r="C2139" t="s">
        <v>152</v>
      </c>
      <c r="D2139" t="s">
        <v>36</v>
      </c>
      <c r="E2139" t="s">
        <v>244</v>
      </c>
      <c r="F2139">
        <v>-2000</v>
      </c>
      <c r="G2139" t="s">
        <v>161</v>
      </c>
    </row>
    <row r="2140" spans="1:7" x14ac:dyDescent="0.3">
      <c r="A2140" s="42">
        <v>45891</v>
      </c>
      <c r="B2140" s="43">
        <v>0.36749999999999999</v>
      </c>
      <c r="C2140" t="s">
        <v>155</v>
      </c>
      <c r="D2140" t="s">
        <v>155</v>
      </c>
      <c r="E2140" t="s">
        <v>815</v>
      </c>
      <c r="F2140">
        <v>11000</v>
      </c>
      <c r="G2140" t="s">
        <v>61</v>
      </c>
    </row>
    <row r="2141" spans="1:7" x14ac:dyDescent="0.3">
      <c r="A2141" s="42">
        <v>45891</v>
      </c>
      <c r="B2141" s="43">
        <v>0.35795138888888889</v>
      </c>
      <c r="C2141" t="s">
        <v>152</v>
      </c>
      <c r="D2141" t="s">
        <v>37</v>
      </c>
      <c r="E2141" t="s">
        <v>366</v>
      </c>
      <c r="F2141">
        <v>-226342</v>
      </c>
      <c r="G2141" t="s">
        <v>67</v>
      </c>
    </row>
    <row r="2142" spans="1:7" x14ac:dyDescent="0.3">
      <c r="A2142" s="42">
        <v>45890</v>
      </c>
      <c r="B2142" s="43">
        <v>0.37049768518518522</v>
      </c>
      <c r="C2142" t="s">
        <v>155</v>
      </c>
      <c r="D2142" t="s">
        <v>163</v>
      </c>
      <c r="E2142" t="s">
        <v>7</v>
      </c>
      <c r="F2142">
        <v>5000000</v>
      </c>
      <c r="G2142" t="s">
        <v>67</v>
      </c>
    </row>
    <row r="2143" spans="1:7" x14ac:dyDescent="0.3">
      <c r="A2143" s="42">
        <v>45890</v>
      </c>
      <c r="B2143" s="43">
        <v>0.37049768518518522</v>
      </c>
      <c r="C2143" t="s">
        <v>155</v>
      </c>
      <c r="D2143" t="s">
        <v>163</v>
      </c>
      <c r="E2143" t="s">
        <v>7</v>
      </c>
      <c r="F2143">
        <v>-5000000</v>
      </c>
      <c r="G2143" t="s">
        <v>60</v>
      </c>
    </row>
    <row r="2144" spans="1:7" x14ac:dyDescent="0.3">
      <c r="A2144" s="42">
        <v>45890</v>
      </c>
      <c r="B2144" s="43">
        <v>0.36982638888888891</v>
      </c>
      <c r="C2144" t="s">
        <v>155</v>
      </c>
      <c r="D2144" t="s">
        <v>163</v>
      </c>
      <c r="E2144" t="s">
        <v>7</v>
      </c>
      <c r="F2144">
        <v>-4000000</v>
      </c>
      <c r="G2144" t="s">
        <v>60</v>
      </c>
    </row>
    <row r="2145" spans="1:7" x14ac:dyDescent="0.3">
      <c r="A2145" s="42">
        <v>45890</v>
      </c>
      <c r="B2145" s="43">
        <v>0.36982638888888891</v>
      </c>
      <c r="C2145" t="s">
        <v>155</v>
      </c>
      <c r="D2145" t="s">
        <v>163</v>
      </c>
      <c r="E2145" t="s">
        <v>7</v>
      </c>
      <c r="F2145">
        <v>4000000</v>
      </c>
      <c r="G2145" t="s">
        <v>61</v>
      </c>
    </row>
    <row r="2146" spans="1:7" x14ac:dyDescent="0.3">
      <c r="A2146" s="42">
        <v>45890</v>
      </c>
      <c r="B2146" s="43">
        <v>0.36346064814814821</v>
      </c>
      <c r="C2146" t="s">
        <v>152</v>
      </c>
      <c r="D2146" t="s">
        <v>49</v>
      </c>
      <c r="E2146" t="s">
        <v>368</v>
      </c>
      <c r="F2146">
        <v>-300</v>
      </c>
      <c r="G2146" t="s">
        <v>266</v>
      </c>
    </row>
    <row r="2147" spans="1:7" x14ac:dyDescent="0.3">
      <c r="A2147" s="42">
        <v>45890</v>
      </c>
      <c r="B2147" s="43">
        <v>0.33346064814814808</v>
      </c>
      <c r="C2147" t="s">
        <v>176</v>
      </c>
      <c r="D2147" t="s">
        <v>29</v>
      </c>
      <c r="E2147" t="s">
        <v>29</v>
      </c>
      <c r="F2147">
        <v>4647460</v>
      </c>
      <c r="G2147" t="s">
        <v>60</v>
      </c>
    </row>
    <row r="2148" spans="1:7" x14ac:dyDescent="0.3">
      <c r="A2148" s="42">
        <v>45890</v>
      </c>
      <c r="B2148" s="43">
        <v>0.30601851851851852</v>
      </c>
      <c r="C2148" t="s">
        <v>155</v>
      </c>
      <c r="D2148" t="s">
        <v>155</v>
      </c>
      <c r="E2148" t="s">
        <v>816</v>
      </c>
      <c r="F2148">
        <v>10000</v>
      </c>
      <c r="G2148" t="s">
        <v>61</v>
      </c>
    </row>
    <row r="2149" spans="1:7" x14ac:dyDescent="0.3">
      <c r="A2149" s="42">
        <v>45889</v>
      </c>
      <c r="B2149" s="43">
        <v>0.88193287037037038</v>
      </c>
      <c r="C2149" t="s">
        <v>152</v>
      </c>
      <c r="D2149" t="s">
        <v>37</v>
      </c>
      <c r="E2149" t="s">
        <v>498</v>
      </c>
      <c r="F2149">
        <v>-99000</v>
      </c>
      <c r="G2149" t="s">
        <v>266</v>
      </c>
    </row>
    <row r="2150" spans="1:7" x14ac:dyDescent="0.3">
      <c r="A2150" s="42">
        <v>45889</v>
      </c>
      <c r="B2150" s="43">
        <v>0.51481481481481484</v>
      </c>
      <c r="C2150" t="s">
        <v>152</v>
      </c>
      <c r="D2150" t="s">
        <v>44</v>
      </c>
      <c r="E2150" t="s">
        <v>503</v>
      </c>
      <c r="F2150">
        <v>-50000</v>
      </c>
      <c r="G2150" t="s">
        <v>266</v>
      </c>
    </row>
    <row r="2151" spans="1:7" x14ac:dyDescent="0.3">
      <c r="A2151" s="42">
        <v>45889</v>
      </c>
      <c r="B2151" s="43">
        <v>0.47230324074074082</v>
      </c>
      <c r="C2151" t="s">
        <v>155</v>
      </c>
      <c r="D2151" t="s">
        <v>155</v>
      </c>
      <c r="E2151" t="s">
        <v>166</v>
      </c>
      <c r="F2151">
        <v>-45000</v>
      </c>
      <c r="G2151" t="s">
        <v>61</v>
      </c>
    </row>
    <row r="2152" spans="1:7" x14ac:dyDescent="0.3">
      <c r="A2152" s="42">
        <v>45889</v>
      </c>
      <c r="B2152" s="43">
        <v>0.35983796296296289</v>
      </c>
      <c r="C2152" t="s">
        <v>152</v>
      </c>
      <c r="D2152" t="s">
        <v>50</v>
      </c>
      <c r="E2152" t="s">
        <v>184</v>
      </c>
      <c r="F2152">
        <v>-1600</v>
      </c>
      <c r="G2152" t="s">
        <v>266</v>
      </c>
    </row>
    <row r="2153" spans="1:7" x14ac:dyDescent="0.3">
      <c r="A2153" s="42">
        <v>45888</v>
      </c>
      <c r="B2153" s="43">
        <v>0.71596064814814819</v>
      </c>
      <c r="C2153" t="s">
        <v>152</v>
      </c>
      <c r="D2153" t="s">
        <v>44</v>
      </c>
      <c r="E2153" t="s">
        <v>610</v>
      </c>
      <c r="F2153">
        <v>-1000</v>
      </c>
      <c r="G2153" t="s">
        <v>266</v>
      </c>
    </row>
    <row r="2154" spans="1:7" x14ac:dyDescent="0.3">
      <c r="A2154" s="42">
        <v>45888</v>
      </c>
      <c r="B2154" s="43">
        <v>0.69622685185185185</v>
      </c>
      <c r="C2154" t="s">
        <v>155</v>
      </c>
      <c r="D2154" t="s">
        <v>163</v>
      </c>
      <c r="E2154" t="s">
        <v>164</v>
      </c>
      <c r="F2154">
        <v>49500</v>
      </c>
      <c r="G2154" t="s">
        <v>158</v>
      </c>
    </row>
    <row r="2155" spans="1:7" x14ac:dyDescent="0.3">
      <c r="A2155" s="42">
        <v>45888</v>
      </c>
      <c r="B2155" s="43">
        <v>0.69622685185185185</v>
      </c>
      <c r="C2155" t="s">
        <v>155</v>
      </c>
      <c r="D2155" t="s">
        <v>155</v>
      </c>
      <c r="E2155" t="s">
        <v>817</v>
      </c>
      <c r="F2155">
        <v>-50000</v>
      </c>
      <c r="G2155" t="s">
        <v>158</v>
      </c>
    </row>
    <row r="2156" spans="1:7" x14ac:dyDescent="0.3">
      <c r="A2156" s="42">
        <v>45888</v>
      </c>
      <c r="B2156" s="43">
        <v>0.69622685185185185</v>
      </c>
      <c r="C2156" t="s">
        <v>155</v>
      </c>
      <c r="D2156" t="s">
        <v>163</v>
      </c>
      <c r="E2156" t="s">
        <v>166</v>
      </c>
      <c r="F2156">
        <v>-49500</v>
      </c>
      <c r="G2156" t="s">
        <v>61</v>
      </c>
    </row>
    <row r="2157" spans="1:7" x14ac:dyDescent="0.3">
      <c r="A2157" s="42">
        <v>45888</v>
      </c>
      <c r="B2157" s="43">
        <v>0.50552083333333331</v>
      </c>
      <c r="C2157" t="s">
        <v>152</v>
      </c>
      <c r="D2157" t="s">
        <v>50</v>
      </c>
      <c r="E2157" t="s">
        <v>184</v>
      </c>
      <c r="F2157">
        <v>-6400</v>
      </c>
      <c r="G2157" t="s">
        <v>266</v>
      </c>
    </row>
    <row r="2158" spans="1:7" x14ac:dyDescent="0.3">
      <c r="A2158" s="42">
        <v>45888</v>
      </c>
      <c r="B2158" s="43">
        <v>0.42347222222222219</v>
      </c>
      <c r="C2158" t="s">
        <v>152</v>
      </c>
      <c r="D2158" t="s">
        <v>39</v>
      </c>
      <c r="E2158" t="s">
        <v>538</v>
      </c>
      <c r="F2158">
        <v>-8767</v>
      </c>
      <c r="G2158" t="s">
        <v>199</v>
      </c>
    </row>
    <row r="2159" spans="1:7" x14ac:dyDescent="0.3">
      <c r="A2159" s="42">
        <v>45888</v>
      </c>
      <c r="B2159" s="43">
        <v>0.42347222222222219</v>
      </c>
      <c r="C2159" t="s">
        <v>152</v>
      </c>
      <c r="D2159" t="s">
        <v>39</v>
      </c>
      <c r="E2159" t="s">
        <v>538</v>
      </c>
      <c r="F2159">
        <v>-25273</v>
      </c>
      <c r="G2159" t="s">
        <v>182</v>
      </c>
    </row>
    <row r="2160" spans="1:7" x14ac:dyDescent="0.3">
      <c r="A2160" s="42">
        <v>45887</v>
      </c>
      <c r="B2160" s="43">
        <v>0.8633912037037037</v>
      </c>
      <c r="C2160" t="s">
        <v>152</v>
      </c>
      <c r="D2160" t="s">
        <v>47</v>
      </c>
      <c r="E2160" t="s">
        <v>341</v>
      </c>
      <c r="F2160">
        <v>-50000</v>
      </c>
      <c r="G2160" t="s">
        <v>61</v>
      </c>
    </row>
    <row r="2161" spans="1:7" x14ac:dyDescent="0.3">
      <c r="A2161" s="42">
        <v>45887</v>
      </c>
      <c r="B2161" s="43">
        <v>0.56252314814814819</v>
      </c>
      <c r="C2161" t="s">
        <v>152</v>
      </c>
      <c r="D2161" t="s">
        <v>49</v>
      </c>
      <c r="E2161" t="s">
        <v>338</v>
      </c>
      <c r="F2161">
        <v>-3150</v>
      </c>
      <c r="G2161" t="s">
        <v>266</v>
      </c>
    </row>
    <row r="2162" spans="1:7" x14ac:dyDescent="0.3">
      <c r="A2162" s="42">
        <v>45887</v>
      </c>
      <c r="B2162" s="43">
        <v>0.41134259259259259</v>
      </c>
      <c r="C2162" t="s">
        <v>155</v>
      </c>
      <c r="D2162" t="s">
        <v>155</v>
      </c>
      <c r="E2162" t="s">
        <v>320</v>
      </c>
      <c r="F2162">
        <v>27804</v>
      </c>
      <c r="G2162" t="s">
        <v>61</v>
      </c>
    </row>
    <row r="2163" spans="1:7" x14ac:dyDescent="0.3">
      <c r="A2163" s="42">
        <v>45886</v>
      </c>
      <c r="B2163" s="43">
        <v>0.66178240740740746</v>
      </c>
      <c r="C2163" t="s">
        <v>152</v>
      </c>
      <c r="D2163" t="s">
        <v>40</v>
      </c>
      <c r="E2163" t="s">
        <v>455</v>
      </c>
      <c r="F2163">
        <v>-10000</v>
      </c>
      <c r="G2163" t="s">
        <v>266</v>
      </c>
    </row>
    <row r="2164" spans="1:7" x14ac:dyDescent="0.3">
      <c r="A2164" s="42">
        <v>45886</v>
      </c>
      <c r="B2164" s="43">
        <v>0.65268518518518515</v>
      </c>
      <c r="C2164" t="s">
        <v>155</v>
      </c>
      <c r="D2164" t="s">
        <v>155</v>
      </c>
      <c r="E2164" t="s">
        <v>818</v>
      </c>
      <c r="F2164">
        <v>-29000</v>
      </c>
      <c r="G2164" t="s">
        <v>60</v>
      </c>
    </row>
    <row r="2165" spans="1:7" x14ac:dyDescent="0.3">
      <c r="A2165" s="42">
        <v>45886</v>
      </c>
      <c r="B2165" s="43">
        <v>0</v>
      </c>
      <c r="C2165" t="s">
        <v>152</v>
      </c>
      <c r="D2165" t="s">
        <v>35</v>
      </c>
      <c r="E2165" t="s">
        <v>674</v>
      </c>
      <c r="F2165">
        <v>28000</v>
      </c>
      <c r="G2165" t="s">
        <v>266</v>
      </c>
    </row>
    <row r="2166" spans="1:7" x14ac:dyDescent="0.3">
      <c r="A2166" s="42">
        <v>45885</v>
      </c>
      <c r="B2166" s="43">
        <v>0.94777777777777783</v>
      </c>
      <c r="C2166" t="s">
        <v>152</v>
      </c>
      <c r="D2166" t="s">
        <v>37</v>
      </c>
      <c r="E2166" t="s">
        <v>819</v>
      </c>
      <c r="F2166">
        <v>-16356</v>
      </c>
      <c r="G2166" t="s">
        <v>154</v>
      </c>
    </row>
    <row r="2167" spans="1:7" x14ac:dyDescent="0.3">
      <c r="A2167" s="42">
        <v>45885</v>
      </c>
      <c r="B2167" s="43">
        <v>0.947662037037037</v>
      </c>
      <c r="C2167" t="s">
        <v>152</v>
      </c>
      <c r="D2167" t="s">
        <v>44</v>
      </c>
      <c r="E2167" t="s">
        <v>820</v>
      </c>
      <c r="F2167">
        <v>-2264</v>
      </c>
      <c r="G2167" t="s">
        <v>199</v>
      </c>
    </row>
    <row r="2168" spans="1:7" x14ac:dyDescent="0.3">
      <c r="A2168" s="42">
        <v>45885</v>
      </c>
      <c r="B2168" s="43">
        <v>0.93278935185185186</v>
      </c>
      <c r="C2168" t="s">
        <v>152</v>
      </c>
      <c r="D2168" t="s">
        <v>44</v>
      </c>
      <c r="E2168" t="s">
        <v>190</v>
      </c>
      <c r="F2168">
        <v>-31000</v>
      </c>
      <c r="G2168" t="s">
        <v>154</v>
      </c>
    </row>
    <row r="2169" spans="1:7" x14ac:dyDescent="0.3">
      <c r="A2169" s="42">
        <v>45885</v>
      </c>
      <c r="B2169" s="43">
        <v>0.85093750000000001</v>
      </c>
      <c r="C2169" t="s">
        <v>152</v>
      </c>
      <c r="D2169" t="s">
        <v>49</v>
      </c>
      <c r="E2169" t="s">
        <v>821</v>
      </c>
      <c r="F2169">
        <v>-1500</v>
      </c>
      <c r="G2169" t="s">
        <v>154</v>
      </c>
    </row>
    <row r="2170" spans="1:7" x14ac:dyDescent="0.3">
      <c r="A2170" s="42">
        <v>45885</v>
      </c>
      <c r="B2170" s="43">
        <v>0.56444444444444442</v>
      </c>
      <c r="C2170" t="s">
        <v>152</v>
      </c>
      <c r="D2170" t="s">
        <v>47</v>
      </c>
      <c r="E2170" t="s">
        <v>822</v>
      </c>
      <c r="F2170">
        <v>-68000</v>
      </c>
      <c r="G2170" t="s">
        <v>154</v>
      </c>
    </row>
    <row r="2171" spans="1:7" x14ac:dyDescent="0.3">
      <c r="A2171" s="42">
        <v>45885</v>
      </c>
      <c r="B2171" s="43">
        <v>0.41462962962962963</v>
      </c>
      <c r="C2171" t="s">
        <v>152</v>
      </c>
      <c r="D2171" t="s">
        <v>36</v>
      </c>
      <c r="E2171" t="s">
        <v>244</v>
      </c>
      <c r="F2171">
        <v>-500</v>
      </c>
      <c r="G2171" t="s">
        <v>161</v>
      </c>
    </row>
    <row r="2172" spans="1:7" x14ac:dyDescent="0.3">
      <c r="A2172" s="42">
        <v>45885</v>
      </c>
      <c r="B2172" s="43">
        <v>0.41461805555555548</v>
      </c>
      <c r="C2172" t="s">
        <v>152</v>
      </c>
      <c r="D2172" t="s">
        <v>36</v>
      </c>
      <c r="E2172" t="s">
        <v>226</v>
      </c>
      <c r="F2172">
        <v>-3000</v>
      </c>
      <c r="G2172" t="s">
        <v>161</v>
      </c>
    </row>
    <row r="2173" spans="1:7" x14ac:dyDescent="0.3">
      <c r="A2173" s="42">
        <v>45885</v>
      </c>
      <c r="B2173" s="43">
        <v>0.3752199074074074</v>
      </c>
      <c r="C2173" t="s">
        <v>152</v>
      </c>
      <c r="D2173" t="s">
        <v>38</v>
      </c>
      <c r="E2173" t="s">
        <v>402</v>
      </c>
      <c r="F2173">
        <v>-3600</v>
      </c>
      <c r="G2173" t="s">
        <v>154</v>
      </c>
    </row>
    <row r="2174" spans="1:7" x14ac:dyDescent="0.3">
      <c r="A2174" s="42">
        <v>45884</v>
      </c>
      <c r="B2174" s="43">
        <v>0.72825231481481478</v>
      </c>
      <c r="C2174" t="s">
        <v>155</v>
      </c>
      <c r="D2174" t="s">
        <v>163</v>
      </c>
      <c r="E2174" t="s">
        <v>164</v>
      </c>
      <c r="F2174">
        <v>10000</v>
      </c>
      <c r="G2174" t="s">
        <v>158</v>
      </c>
    </row>
    <row r="2175" spans="1:7" x14ac:dyDescent="0.3">
      <c r="A2175" s="42">
        <v>45884</v>
      </c>
      <c r="B2175" s="43">
        <v>0.72825231481481478</v>
      </c>
      <c r="C2175" t="s">
        <v>155</v>
      </c>
      <c r="D2175" t="s">
        <v>155</v>
      </c>
      <c r="E2175" t="s">
        <v>823</v>
      </c>
      <c r="F2175">
        <v>-9500</v>
      </c>
      <c r="G2175" t="s">
        <v>158</v>
      </c>
    </row>
    <row r="2176" spans="1:7" x14ac:dyDescent="0.3">
      <c r="A2176" s="42">
        <v>45884</v>
      </c>
      <c r="B2176" s="43">
        <v>0.72825231481481478</v>
      </c>
      <c r="C2176" t="s">
        <v>155</v>
      </c>
      <c r="D2176" t="s">
        <v>163</v>
      </c>
      <c r="E2176" t="s">
        <v>166</v>
      </c>
      <c r="F2176">
        <v>-10000</v>
      </c>
      <c r="G2176" t="s">
        <v>61</v>
      </c>
    </row>
    <row r="2177" spans="1:7" x14ac:dyDescent="0.3">
      <c r="A2177" s="42">
        <v>45884</v>
      </c>
      <c r="B2177" s="43">
        <v>0.63565972222222222</v>
      </c>
      <c r="C2177" t="s">
        <v>155</v>
      </c>
      <c r="D2177" t="s">
        <v>155</v>
      </c>
      <c r="E2177" t="s">
        <v>824</v>
      </c>
      <c r="F2177">
        <v>7500</v>
      </c>
      <c r="G2177" t="s">
        <v>61</v>
      </c>
    </row>
    <row r="2178" spans="1:7" x14ac:dyDescent="0.3">
      <c r="A2178" s="42">
        <v>45884</v>
      </c>
      <c r="B2178" s="43">
        <v>0.62104166666666671</v>
      </c>
      <c r="C2178" t="s">
        <v>152</v>
      </c>
      <c r="D2178" t="s">
        <v>44</v>
      </c>
      <c r="E2178" t="s">
        <v>190</v>
      </c>
      <c r="F2178">
        <v>-20230</v>
      </c>
      <c r="G2178" t="s">
        <v>154</v>
      </c>
    </row>
    <row r="2179" spans="1:7" x14ac:dyDescent="0.3">
      <c r="A2179" s="42">
        <v>45884</v>
      </c>
      <c r="B2179" s="43">
        <v>0.50423611111111111</v>
      </c>
      <c r="C2179" t="s">
        <v>155</v>
      </c>
      <c r="D2179" t="s">
        <v>155</v>
      </c>
      <c r="E2179" t="s">
        <v>825</v>
      </c>
      <c r="F2179">
        <v>9000</v>
      </c>
      <c r="G2179" t="s">
        <v>61</v>
      </c>
    </row>
    <row r="2180" spans="1:7" x14ac:dyDescent="0.3">
      <c r="A2180" s="42">
        <v>45884</v>
      </c>
      <c r="B2180" s="43">
        <v>0.41550925925925919</v>
      </c>
      <c r="C2180" t="s">
        <v>152</v>
      </c>
      <c r="D2180" t="s">
        <v>36</v>
      </c>
      <c r="E2180" t="s">
        <v>244</v>
      </c>
      <c r="F2180">
        <v>-500</v>
      </c>
      <c r="G2180" t="s">
        <v>161</v>
      </c>
    </row>
    <row r="2181" spans="1:7" x14ac:dyDescent="0.3">
      <c r="A2181" s="42">
        <v>45884</v>
      </c>
      <c r="B2181" s="43">
        <v>0.41549768518518521</v>
      </c>
      <c r="C2181" t="s">
        <v>152</v>
      </c>
      <c r="D2181" t="s">
        <v>36</v>
      </c>
      <c r="E2181" t="s">
        <v>226</v>
      </c>
      <c r="F2181">
        <v>-3000</v>
      </c>
      <c r="G2181" t="s">
        <v>161</v>
      </c>
    </row>
    <row r="2182" spans="1:7" x14ac:dyDescent="0.3">
      <c r="A2182" s="42">
        <v>45883</v>
      </c>
      <c r="B2182" s="43">
        <v>0.7993865740740741</v>
      </c>
      <c r="C2182" t="s">
        <v>155</v>
      </c>
      <c r="D2182" t="s">
        <v>213</v>
      </c>
      <c r="E2182" t="s">
        <v>826</v>
      </c>
      <c r="F2182">
        <v>-12000</v>
      </c>
      <c r="G2182" t="s">
        <v>61</v>
      </c>
    </row>
    <row r="2183" spans="1:7" x14ac:dyDescent="0.3">
      <c r="A2183" s="42">
        <v>45883</v>
      </c>
      <c r="B2183" s="43">
        <v>0.67489583333333336</v>
      </c>
      <c r="C2183" t="s">
        <v>152</v>
      </c>
      <c r="D2183" t="s">
        <v>49</v>
      </c>
      <c r="E2183" t="s">
        <v>827</v>
      </c>
      <c r="F2183">
        <v>-3000</v>
      </c>
      <c r="G2183" t="s">
        <v>154</v>
      </c>
    </row>
    <row r="2184" spans="1:7" x14ac:dyDescent="0.3">
      <c r="A2184" s="42">
        <v>45883</v>
      </c>
      <c r="B2184" s="43">
        <v>0.66094907407407411</v>
      </c>
      <c r="C2184" t="s">
        <v>152</v>
      </c>
      <c r="D2184" t="s">
        <v>43</v>
      </c>
      <c r="E2184" t="s">
        <v>229</v>
      </c>
      <c r="F2184">
        <v>-10000</v>
      </c>
      <c r="G2184" t="s">
        <v>154</v>
      </c>
    </row>
    <row r="2185" spans="1:7" x14ac:dyDescent="0.3">
      <c r="A2185" s="42">
        <v>45883</v>
      </c>
      <c r="B2185" s="43">
        <v>0.65957175925925926</v>
      </c>
      <c r="C2185" t="s">
        <v>152</v>
      </c>
      <c r="D2185" t="s">
        <v>43</v>
      </c>
      <c r="E2185" t="s">
        <v>229</v>
      </c>
      <c r="F2185">
        <v>-3000</v>
      </c>
      <c r="G2185" t="s">
        <v>154</v>
      </c>
    </row>
    <row r="2186" spans="1:7" x14ac:dyDescent="0.3">
      <c r="A2186" s="42">
        <v>45883</v>
      </c>
      <c r="B2186" s="43">
        <v>0.64013888888888892</v>
      </c>
      <c r="C2186" t="s">
        <v>152</v>
      </c>
      <c r="D2186" t="s">
        <v>43</v>
      </c>
      <c r="E2186" t="s">
        <v>229</v>
      </c>
      <c r="F2186">
        <v>-4500</v>
      </c>
      <c r="G2186" t="s">
        <v>154</v>
      </c>
    </row>
    <row r="2187" spans="1:7" x14ac:dyDescent="0.3">
      <c r="A2187" s="42">
        <v>45883</v>
      </c>
      <c r="B2187" s="43">
        <v>0.57501157407407411</v>
      </c>
      <c r="C2187" t="s">
        <v>152</v>
      </c>
      <c r="D2187" t="s">
        <v>49</v>
      </c>
      <c r="E2187" t="s">
        <v>828</v>
      </c>
      <c r="F2187">
        <v>-12700</v>
      </c>
      <c r="G2187" t="s">
        <v>154</v>
      </c>
    </row>
    <row r="2188" spans="1:7" x14ac:dyDescent="0.3">
      <c r="A2188" s="42">
        <v>45883</v>
      </c>
      <c r="B2188" s="43">
        <v>0.55500000000000005</v>
      </c>
      <c r="C2188" t="s">
        <v>152</v>
      </c>
      <c r="D2188" t="s">
        <v>47</v>
      </c>
      <c r="E2188" t="s">
        <v>209</v>
      </c>
      <c r="F2188">
        <v>-16400</v>
      </c>
      <c r="G2188" t="s">
        <v>154</v>
      </c>
    </row>
    <row r="2189" spans="1:7" x14ac:dyDescent="0.3">
      <c r="A2189" s="42">
        <v>45883</v>
      </c>
      <c r="B2189" s="43">
        <v>0.55046296296296293</v>
      </c>
      <c r="C2189" t="s">
        <v>152</v>
      </c>
      <c r="D2189" t="s">
        <v>37</v>
      </c>
      <c r="E2189" t="s">
        <v>498</v>
      </c>
      <c r="F2189">
        <v>-18500</v>
      </c>
      <c r="G2189" t="s">
        <v>180</v>
      </c>
    </row>
    <row r="2190" spans="1:7" x14ac:dyDescent="0.3">
      <c r="A2190" s="42">
        <v>45883</v>
      </c>
      <c r="B2190" s="43">
        <v>0.54986111111111113</v>
      </c>
      <c r="C2190" t="s">
        <v>152</v>
      </c>
      <c r="D2190" t="s">
        <v>37</v>
      </c>
      <c r="E2190" t="s">
        <v>498</v>
      </c>
      <c r="F2190">
        <v>-11000</v>
      </c>
      <c r="G2190" t="s">
        <v>180</v>
      </c>
    </row>
    <row r="2191" spans="1:7" x14ac:dyDescent="0.3">
      <c r="A2191" s="42">
        <v>45883</v>
      </c>
      <c r="B2191" s="43">
        <v>0.54646990740740742</v>
      </c>
      <c r="C2191" t="s">
        <v>152</v>
      </c>
      <c r="D2191" t="s">
        <v>37</v>
      </c>
      <c r="E2191" t="s">
        <v>498</v>
      </c>
      <c r="F2191">
        <v>-14300</v>
      </c>
      <c r="G2191" t="s">
        <v>180</v>
      </c>
    </row>
    <row r="2192" spans="1:7" x14ac:dyDescent="0.3">
      <c r="A2192" s="42">
        <v>45883</v>
      </c>
      <c r="B2192" s="43">
        <v>0.53753472222222221</v>
      </c>
      <c r="C2192" t="s">
        <v>152</v>
      </c>
      <c r="D2192" t="s">
        <v>38</v>
      </c>
      <c r="E2192" t="s">
        <v>651</v>
      </c>
      <c r="F2192">
        <v>-37500</v>
      </c>
      <c r="G2192" t="s">
        <v>180</v>
      </c>
    </row>
    <row r="2193" spans="1:7" x14ac:dyDescent="0.3">
      <c r="A2193" s="42">
        <v>45883</v>
      </c>
      <c r="B2193" s="43">
        <v>0.42002314814814817</v>
      </c>
      <c r="C2193" t="s">
        <v>152</v>
      </c>
      <c r="D2193" t="s">
        <v>36</v>
      </c>
      <c r="E2193" t="s">
        <v>244</v>
      </c>
      <c r="F2193">
        <v>-3300</v>
      </c>
      <c r="G2193" t="s">
        <v>161</v>
      </c>
    </row>
    <row r="2194" spans="1:7" x14ac:dyDescent="0.3">
      <c r="A2194" s="42">
        <v>45882</v>
      </c>
      <c r="B2194" s="43">
        <v>0.90077546296296296</v>
      </c>
      <c r="C2194" t="s">
        <v>152</v>
      </c>
      <c r="D2194" t="s">
        <v>44</v>
      </c>
      <c r="E2194" t="s">
        <v>375</v>
      </c>
      <c r="F2194">
        <v>-5180</v>
      </c>
      <c r="G2194" t="s">
        <v>266</v>
      </c>
    </row>
    <row r="2195" spans="1:7" x14ac:dyDescent="0.3">
      <c r="A2195" s="42">
        <v>45882</v>
      </c>
      <c r="B2195" s="43">
        <v>0.89947916666666672</v>
      </c>
      <c r="C2195" t="s">
        <v>152</v>
      </c>
      <c r="D2195" t="s">
        <v>44</v>
      </c>
      <c r="E2195" t="s">
        <v>375</v>
      </c>
      <c r="F2195">
        <v>-100</v>
      </c>
      <c r="G2195" t="s">
        <v>266</v>
      </c>
    </row>
    <row r="2196" spans="1:7" x14ac:dyDescent="0.3">
      <c r="A2196" s="42">
        <v>45882</v>
      </c>
      <c r="B2196" s="43">
        <v>0.6495023148148148</v>
      </c>
      <c r="C2196" t="s">
        <v>152</v>
      </c>
      <c r="D2196" t="s">
        <v>50</v>
      </c>
      <c r="E2196" t="s">
        <v>322</v>
      </c>
      <c r="F2196">
        <v>-3240</v>
      </c>
      <c r="G2196" t="s">
        <v>186</v>
      </c>
    </row>
    <row r="2197" spans="1:7" x14ac:dyDescent="0.3">
      <c r="A2197" s="42">
        <v>45882</v>
      </c>
      <c r="B2197" s="43">
        <v>0.64744212962962966</v>
      </c>
      <c r="C2197" t="s">
        <v>152</v>
      </c>
      <c r="D2197" t="s">
        <v>50</v>
      </c>
      <c r="E2197" t="s">
        <v>322</v>
      </c>
      <c r="F2197">
        <v>-52920</v>
      </c>
      <c r="G2197" t="s">
        <v>186</v>
      </c>
    </row>
    <row r="2198" spans="1:7" x14ac:dyDescent="0.3">
      <c r="A2198" s="42">
        <v>45882</v>
      </c>
      <c r="B2198" s="43">
        <v>0.52498842592592587</v>
      </c>
      <c r="C2198" t="s">
        <v>152</v>
      </c>
      <c r="D2198" t="s">
        <v>50</v>
      </c>
      <c r="E2198" t="s">
        <v>184</v>
      </c>
      <c r="F2198">
        <v>-1600</v>
      </c>
      <c r="G2198" t="s">
        <v>180</v>
      </c>
    </row>
    <row r="2199" spans="1:7" x14ac:dyDescent="0.3">
      <c r="A2199" s="42">
        <v>45882</v>
      </c>
      <c r="B2199" s="43">
        <v>0.31701388888888887</v>
      </c>
      <c r="C2199" t="s">
        <v>152</v>
      </c>
      <c r="D2199" t="s">
        <v>44</v>
      </c>
      <c r="E2199" t="s">
        <v>159</v>
      </c>
      <c r="F2199">
        <v>-8900</v>
      </c>
      <c r="G2199" t="s">
        <v>154</v>
      </c>
    </row>
    <row r="2200" spans="1:7" x14ac:dyDescent="0.3">
      <c r="A2200" s="42">
        <v>45881</v>
      </c>
      <c r="B2200" s="43">
        <v>0.77490740740740738</v>
      </c>
      <c r="C2200" t="s">
        <v>155</v>
      </c>
      <c r="D2200" t="s">
        <v>155</v>
      </c>
      <c r="E2200" t="s">
        <v>829</v>
      </c>
      <c r="F2200">
        <v>-10000</v>
      </c>
      <c r="G2200" t="s">
        <v>60</v>
      </c>
    </row>
    <row r="2201" spans="1:7" x14ac:dyDescent="0.3">
      <c r="A2201" s="42">
        <v>45881</v>
      </c>
      <c r="B2201" s="43">
        <v>0.62493055555555554</v>
      </c>
      <c r="C2201" t="s">
        <v>152</v>
      </c>
      <c r="D2201" t="s">
        <v>39</v>
      </c>
      <c r="E2201" t="s">
        <v>784</v>
      </c>
      <c r="F2201">
        <v>-10000</v>
      </c>
      <c r="G2201" t="s">
        <v>180</v>
      </c>
    </row>
    <row r="2202" spans="1:7" x14ac:dyDescent="0.3">
      <c r="A2202" s="42">
        <v>45881</v>
      </c>
      <c r="B2202" s="43">
        <v>0.56939814814814815</v>
      </c>
      <c r="C2202" t="s">
        <v>176</v>
      </c>
      <c r="D2202" t="s">
        <v>28</v>
      </c>
      <c r="E2202" t="s">
        <v>178</v>
      </c>
      <c r="F2202">
        <v>21930</v>
      </c>
      <c r="G2202" t="s">
        <v>61</v>
      </c>
    </row>
    <row r="2203" spans="1:7" x14ac:dyDescent="0.3">
      <c r="A2203" s="42">
        <v>45881</v>
      </c>
      <c r="B2203" s="43">
        <v>0.51145833333333335</v>
      </c>
      <c r="C2203" t="s">
        <v>152</v>
      </c>
      <c r="D2203" t="s">
        <v>40</v>
      </c>
      <c r="E2203" t="s">
        <v>830</v>
      </c>
      <c r="F2203">
        <v>-3700</v>
      </c>
      <c r="G2203" t="s">
        <v>186</v>
      </c>
    </row>
    <row r="2204" spans="1:7" x14ac:dyDescent="0.3">
      <c r="A2204" s="42">
        <v>45881</v>
      </c>
      <c r="B2204" s="43">
        <v>0</v>
      </c>
      <c r="C2204" t="s">
        <v>152</v>
      </c>
      <c r="D2204" t="s">
        <v>36</v>
      </c>
      <c r="E2204" t="s">
        <v>250</v>
      </c>
      <c r="F2204">
        <v>46100</v>
      </c>
      <c r="G2204" t="s">
        <v>180</v>
      </c>
    </row>
    <row r="2205" spans="1:7" x14ac:dyDescent="0.3">
      <c r="A2205" s="42">
        <v>45880</v>
      </c>
      <c r="B2205" s="43">
        <v>0.94618055555555558</v>
      </c>
      <c r="C2205" t="s">
        <v>152</v>
      </c>
      <c r="D2205" t="s">
        <v>40</v>
      </c>
      <c r="E2205" t="s">
        <v>465</v>
      </c>
      <c r="F2205">
        <v>-10620</v>
      </c>
      <c r="G2205" t="s">
        <v>180</v>
      </c>
    </row>
    <row r="2206" spans="1:7" x14ac:dyDescent="0.3">
      <c r="A2206" s="42">
        <v>45880</v>
      </c>
      <c r="B2206" s="43">
        <v>0.75697916666666665</v>
      </c>
      <c r="C2206" t="s">
        <v>152</v>
      </c>
      <c r="D2206" t="s">
        <v>40</v>
      </c>
      <c r="E2206" t="s">
        <v>434</v>
      </c>
      <c r="F2206">
        <v>-3400</v>
      </c>
      <c r="G2206" t="s">
        <v>180</v>
      </c>
    </row>
    <row r="2207" spans="1:7" x14ac:dyDescent="0.3">
      <c r="A2207" s="42">
        <v>45880</v>
      </c>
      <c r="B2207" s="43">
        <v>0.74269675925925926</v>
      </c>
      <c r="C2207" t="s">
        <v>152</v>
      </c>
      <c r="D2207" t="s">
        <v>40</v>
      </c>
      <c r="E2207" t="s">
        <v>434</v>
      </c>
      <c r="F2207">
        <v>-5500</v>
      </c>
      <c r="G2207" t="s">
        <v>180</v>
      </c>
    </row>
    <row r="2208" spans="1:7" x14ac:dyDescent="0.3">
      <c r="A2208" s="42">
        <v>45880</v>
      </c>
      <c r="B2208" s="43">
        <v>0.71339120370370368</v>
      </c>
      <c r="C2208" t="s">
        <v>152</v>
      </c>
      <c r="D2208" t="s">
        <v>36</v>
      </c>
      <c r="E2208" t="s">
        <v>250</v>
      </c>
      <c r="F2208">
        <v>-46200</v>
      </c>
      <c r="G2208" t="s">
        <v>180</v>
      </c>
    </row>
    <row r="2209" spans="1:7" x14ac:dyDescent="0.3">
      <c r="A2209" s="42">
        <v>45880</v>
      </c>
      <c r="B2209" s="43">
        <v>0.59185185185185185</v>
      </c>
      <c r="C2209" t="s">
        <v>152</v>
      </c>
      <c r="D2209" t="s">
        <v>44</v>
      </c>
      <c r="E2209" t="s">
        <v>179</v>
      </c>
      <c r="F2209">
        <v>-34900</v>
      </c>
      <c r="G2209" t="s">
        <v>180</v>
      </c>
    </row>
    <row r="2210" spans="1:7" x14ac:dyDescent="0.3">
      <c r="A2210" s="42">
        <v>45880</v>
      </c>
      <c r="B2210" s="43">
        <v>0.52436342592592589</v>
      </c>
      <c r="C2210" t="s">
        <v>152</v>
      </c>
      <c r="D2210" t="s">
        <v>49</v>
      </c>
      <c r="E2210" t="s">
        <v>288</v>
      </c>
      <c r="F2210">
        <v>-4700</v>
      </c>
      <c r="G2210" t="s">
        <v>180</v>
      </c>
    </row>
    <row r="2211" spans="1:7" x14ac:dyDescent="0.3">
      <c r="A2211" s="42">
        <v>45880</v>
      </c>
      <c r="B2211" s="43">
        <v>0.50084490740740739</v>
      </c>
      <c r="C2211" t="s">
        <v>152</v>
      </c>
      <c r="D2211" t="s">
        <v>50</v>
      </c>
      <c r="E2211" t="s">
        <v>570</v>
      </c>
      <c r="F2211">
        <v>-12900</v>
      </c>
      <c r="G2211" t="s">
        <v>180</v>
      </c>
    </row>
    <row r="2212" spans="1:7" x14ac:dyDescent="0.3">
      <c r="A2212" s="42">
        <v>45880</v>
      </c>
      <c r="B2212" s="43">
        <v>0.32826388888888891</v>
      </c>
      <c r="C2212" t="s">
        <v>152</v>
      </c>
      <c r="D2212" t="s">
        <v>40</v>
      </c>
      <c r="E2212" t="s">
        <v>540</v>
      </c>
      <c r="F2212">
        <v>-6100</v>
      </c>
      <c r="G2212" t="s">
        <v>180</v>
      </c>
    </row>
    <row r="2213" spans="1:7" x14ac:dyDescent="0.3">
      <c r="A2213" s="42">
        <v>45880</v>
      </c>
      <c r="B2213" s="43">
        <v>4.2372685185185187E-2</v>
      </c>
      <c r="C2213" t="s">
        <v>152</v>
      </c>
      <c r="D2213" t="s">
        <v>48</v>
      </c>
      <c r="E2213" t="s">
        <v>308</v>
      </c>
      <c r="F2213">
        <v>-14140</v>
      </c>
      <c r="G2213" t="s">
        <v>154</v>
      </c>
    </row>
    <row r="2214" spans="1:7" x14ac:dyDescent="0.3">
      <c r="A2214" s="42">
        <v>45880</v>
      </c>
      <c r="B2214" s="43">
        <v>4.2372685185185187E-2</v>
      </c>
      <c r="C2214" t="s">
        <v>152</v>
      </c>
      <c r="D2214" t="s">
        <v>48</v>
      </c>
      <c r="E2214" t="s">
        <v>311</v>
      </c>
      <c r="F2214">
        <v>-31700</v>
      </c>
      <c r="G2214" t="s">
        <v>154</v>
      </c>
    </row>
    <row r="2215" spans="1:7" x14ac:dyDescent="0.3">
      <c r="A2215" s="42">
        <v>45880</v>
      </c>
      <c r="B2215" s="43">
        <v>4.2372685185185187E-2</v>
      </c>
      <c r="C2215" t="s">
        <v>152</v>
      </c>
      <c r="D2215" t="s">
        <v>48</v>
      </c>
      <c r="E2215" t="s">
        <v>311</v>
      </c>
      <c r="F2215">
        <v>-41200</v>
      </c>
      <c r="G2215" t="s">
        <v>154</v>
      </c>
    </row>
    <row r="2216" spans="1:7" x14ac:dyDescent="0.3">
      <c r="A2216" s="42">
        <v>45880</v>
      </c>
      <c r="B2216" s="43">
        <v>0</v>
      </c>
      <c r="C2216" t="s">
        <v>152</v>
      </c>
      <c r="D2216" t="s">
        <v>36</v>
      </c>
      <c r="E2216" t="s">
        <v>250</v>
      </c>
      <c r="F2216">
        <v>-2300</v>
      </c>
      <c r="G2216" t="s">
        <v>180</v>
      </c>
    </row>
    <row r="2217" spans="1:7" x14ac:dyDescent="0.3">
      <c r="A2217" s="42">
        <v>45880</v>
      </c>
      <c r="B2217" s="43">
        <v>0</v>
      </c>
      <c r="C2217" t="s">
        <v>152</v>
      </c>
      <c r="D2217" t="s">
        <v>36</v>
      </c>
      <c r="E2217" t="s">
        <v>250</v>
      </c>
      <c r="F2217">
        <v>46100</v>
      </c>
      <c r="G2217" t="s">
        <v>180</v>
      </c>
    </row>
    <row r="2218" spans="1:7" x14ac:dyDescent="0.3">
      <c r="A2218" s="42">
        <v>45879</v>
      </c>
      <c r="B2218" s="43">
        <v>0.90454861111111107</v>
      </c>
      <c r="C2218" t="s">
        <v>152</v>
      </c>
      <c r="D2218" t="s">
        <v>36</v>
      </c>
      <c r="E2218" t="s">
        <v>250</v>
      </c>
      <c r="F2218">
        <v>-46000</v>
      </c>
      <c r="G2218" t="s">
        <v>180</v>
      </c>
    </row>
    <row r="2219" spans="1:7" x14ac:dyDescent="0.3">
      <c r="A2219" s="42">
        <v>45879</v>
      </c>
      <c r="B2219" s="43">
        <v>0.85993055555555553</v>
      </c>
      <c r="C2219" t="s">
        <v>152</v>
      </c>
      <c r="D2219" t="s">
        <v>50</v>
      </c>
      <c r="E2219" t="s">
        <v>325</v>
      </c>
      <c r="F2219">
        <v>-30400</v>
      </c>
      <c r="G2219" t="s">
        <v>182</v>
      </c>
    </row>
    <row r="2220" spans="1:7" x14ac:dyDescent="0.3">
      <c r="A2220" s="42">
        <v>45879</v>
      </c>
      <c r="B2220" s="43">
        <v>0.85960648148148144</v>
      </c>
      <c r="C2220" t="s">
        <v>152</v>
      </c>
      <c r="D2220" t="s">
        <v>44</v>
      </c>
      <c r="E2220" t="s">
        <v>190</v>
      </c>
      <c r="F2220">
        <v>-6840</v>
      </c>
      <c r="G2220" t="s">
        <v>154</v>
      </c>
    </row>
    <row r="2221" spans="1:7" x14ac:dyDescent="0.3">
      <c r="A2221" s="42">
        <v>45879</v>
      </c>
      <c r="B2221" s="43">
        <v>0.64609953703703704</v>
      </c>
      <c r="C2221" t="s">
        <v>152</v>
      </c>
      <c r="D2221" t="s">
        <v>42</v>
      </c>
      <c r="E2221" t="s">
        <v>831</v>
      </c>
      <c r="F2221">
        <v>-1500</v>
      </c>
      <c r="G2221" t="s">
        <v>180</v>
      </c>
    </row>
    <row r="2222" spans="1:7" x14ac:dyDescent="0.3">
      <c r="A2222" s="42">
        <v>45879</v>
      </c>
      <c r="B2222" s="43">
        <v>0.48598379629629629</v>
      </c>
      <c r="C2222" t="s">
        <v>155</v>
      </c>
      <c r="D2222" t="s">
        <v>163</v>
      </c>
      <c r="E2222" t="s">
        <v>164</v>
      </c>
      <c r="F2222">
        <v>247883</v>
      </c>
      <c r="G2222" t="s">
        <v>158</v>
      </c>
    </row>
    <row r="2223" spans="1:7" x14ac:dyDescent="0.3">
      <c r="A2223" s="42">
        <v>45879</v>
      </c>
      <c r="B2223" s="43">
        <v>0.48598379629629629</v>
      </c>
      <c r="C2223" t="s">
        <v>155</v>
      </c>
      <c r="D2223" t="s">
        <v>155</v>
      </c>
      <c r="E2223" t="s">
        <v>488</v>
      </c>
      <c r="F2223">
        <v>-250000</v>
      </c>
      <c r="G2223" t="s">
        <v>158</v>
      </c>
    </row>
    <row r="2224" spans="1:7" x14ac:dyDescent="0.3">
      <c r="A2224" s="42">
        <v>45879</v>
      </c>
      <c r="B2224" s="43">
        <v>0.48598379629629629</v>
      </c>
      <c r="C2224" t="s">
        <v>155</v>
      </c>
      <c r="D2224" t="s">
        <v>163</v>
      </c>
      <c r="E2224" t="s">
        <v>166</v>
      </c>
      <c r="F2224">
        <v>-247883</v>
      </c>
      <c r="G2224" t="s">
        <v>61</v>
      </c>
    </row>
    <row r="2225" spans="1:7" x14ac:dyDescent="0.3">
      <c r="A2225" s="42">
        <v>45879</v>
      </c>
      <c r="B2225" s="43">
        <v>0.46988425925925931</v>
      </c>
      <c r="C2225" t="s">
        <v>152</v>
      </c>
      <c r="D2225" t="s">
        <v>36</v>
      </c>
      <c r="E2225" t="s">
        <v>244</v>
      </c>
      <c r="F2225">
        <v>-500</v>
      </c>
      <c r="G2225" t="s">
        <v>161</v>
      </c>
    </row>
    <row r="2226" spans="1:7" x14ac:dyDescent="0.3">
      <c r="A2226" s="42">
        <v>45879</v>
      </c>
      <c r="B2226" s="43">
        <v>0.46988425925925931</v>
      </c>
      <c r="C2226" t="s">
        <v>152</v>
      </c>
      <c r="D2226" t="s">
        <v>36</v>
      </c>
      <c r="E2226" t="s">
        <v>226</v>
      </c>
      <c r="F2226">
        <v>-3000</v>
      </c>
      <c r="G2226" t="s">
        <v>161</v>
      </c>
    </row>
    <row r="2227" spans="1:7" x14ac:dyDescent="0.3">
      <c r="A2227" s="42">
        <v>45879</v>
      </c>
      <c r="B2227" s="43">
        <v>0.42611111111111111</v>
      </c>
      <c r="C2227" t="s">
        <v>152</v>
      </c>
      <c r="D2227" t="s">
        <v>37</v>
      </c>
      <c r="E2227" t="s">
        <v>165</v>
      </c>
      <c r="F2227">
        <v>-36533</v>
      </c>
      <c r="G2227" t="s">
        <v>158</v>
      </c>
    </row>
    <row r="2228" spans="1:7" x14ac:dyDescent="0.3">
      <c r="A2228" s="42">
        <v>45878</v>
      </c>
      <c r="B2228" s="43">
        <v>0.6784606481481481</v>
      </c>
      <c r="C2228" t="s">
        <v>152</v>
      </c>
      <c r="D2228" t="s">
        <v>47</v>
      </c>
      <c r="E2228" t="s">
        <v>832</v>
      </c>
      <c r="F2228">
        <v>-1500</v>
      </c>
      <c r="G2228" t="s">
        <v>180</v>
      </c>
    </row>
    <row r="2229" spans="1:7" x14ac:dyDescent="0.3">
      <c r="A2229" s="42">
        <v>45878</v>
      </c>
      <c r="B2229" s="43">
        <v>0.66835648148148152</v>
      </c>
      <c r="C2229" t="s">
        <v>152</v>
      </c>
      <c r="D2229" t="s">
        <v>43</v>
      </c>
      <c r="E2229" t="s">
        <v>833</v>
      </c>
      <c r="F2229">
        <v>-5000</v>
      </c>
      <c r="G2229" t="s">
        <v>180</v>
      </c>
    </row>
    <row r="2230" spans="1:7" x14ac:dyDescent="0.3">
      <c r="A2230" s="42">
        <v>45878</v>
      </c>
      <c r="B2230" s="43">
        <v>0.56325231481481486</v>
      </c>
      <c r="C2230" t="s">
        <v>152</v>
      </c>
      <c r="D2230" t="s">
        <v>43</v>
      </c>
      <c r="E2230" t="s">
        <v>834</v>
      </c>
      <c r="F2230">
        <v>-39200</v>
      </c>
      <c r="G2230" t="s">
        <v>186</v>
      </c>
    </row>
    <row r="2231" spans="1:7" x14ac:dyDescent="0.3">
      <c r="A2231" s="42">
        <v>45878</v>
      </c>
      <c r="B2231" s="43">
        <v>0.53944444444444439</v>
      </c>
      <c r="C2231" t="s">
        <v>152</v>
      </c>
      <c r="D2231" t="s">
        <v>36</v>
      </c>
      <c r="E2231" t="s">
        <v>250</v>
      </c>
      <c r="F2231">
        <v>-46100</v>
      </c>
      <c r="G2231" t="s">
        <v>180</v>
      </c>
    </row>
    <row r="2232" spans="1:7" x14ac:dyDescent="0.3">
      <c r="A2232" s="42">
        <v>45878</v>
      </c>
      <c r="B2232" s="43">
        <v>0.53914351851851849</v>
      </c>
      <c r="C2232" t="s">
        <v>152</v>
      </c>
      <c r="D2232" t="s">
        <v>36</v>
      </c>
      <c r="E2232" t="s">
        <v>250</v>
      </c>
      <c r="F2232">
        <v>-46100</v>
      </c>
      <c r="G2232" t="s">
        <v>180</v>
      </c>
    </row>
    <row r="2233" spans="1:7" x14ac:dyDescent="0.3">
      <c r="A2233" s="42">
        <v>45878</v>
      </c>
      <c r="B2233" s="43">
        <v>0.41438657407407409</v>
      </c>
      <c r="C2233" t="s">
        <v>152</v>
      </c>
      <c r="D2233" t="s">
        <v>36</v>
      </c>
      <c r="E2233" t="s">
        <v>244</v>
      </c>
      <c r="F2233">
        <v>-500</v>
      </c>
      <c r="G2233" t="s">
        <v>161</v>
      </c>
    </row>
    <row r="2234" spans="1:7" x14ac:dyDescent="0.3">
      <c r="A2234" s="42">
        <v>45878</v>
      </c>
      <c r="B2234" s="43">
        <v>0.41438657407407409</v>
      </c>
      <c r="C2234" t="s">
        <v>152</v>
      </c>
      <c r="D2234" t="s">
        <v>36</v>
      </c>
      <c r="E2234" t="s">
        <v>226</v>
      </c>
      <c r="F2234">
        <v>-3000</v>
      </c>
      <c r="G2234" t="s">
        <v>161</v>
      </c>
    </row>
    <row r="2235" spans="1:7" x14ac:dyDescent="0.3">
      <c r="A2235" s="42">
        <v>45878</v>
      </c>
      <c r="B2235" s="43">
        <v>0.38476851851851851</v>
      </c>
      <c r="C2235" t="s">
        <v>155</v>
      </c>
      <c r="D2235" t="s">
        <v>155</v>
      </c>
      <c r="E2235" t="s">
        <v>835</v>
      </c>
      <c r="F2235">
        <v>-20000</v>
      </c>
      <c r="G2235" t="s">
        <v>158</v>
      </c>
    </row>
    <row r="2236" spans="1:7" x14ac:dyDescent="0.3">
      <c r="A2236" s="42">
        <v>45878</v>
      </c>
      <c r="B2236" s="43">
        <v>7.8773148148148148E-2</v>
      </c>
      <c r="C2236" t="s">
        <v>155</v>
      </c>
      <c r="D2236" t="s">
        <v>156</v>
      </c>
      <c r="E2236" t="s">
        <v>234</v>
      </c>
      <c r="F2236">
        <v>487</v>
      </c>
      <c r="G2236" t="s">
        <v>61</v>
      </c>
    </row>
    <row r="2237" spans="1:7" x14ac:dyDescent="0.3">
      <c r="A2237" s="42">
        <v>45878</v>
      </c>
      <c r="B2237" s="43">
        <v>7.8622685185185184E-2</v>
      </c>
      <c r="C2237" t="s">
        <v>155</v>
      </c>
      <c r="D2237" t="s">
        <v>156</v>
      </c>
      <c r="E2237" t="s">
        <v>234</v>
      </c>
      <c r="F2237">
        <v>3073</v>
      </c>
      <c r="G2237" t="s">
        <v>60</v>
      </c>
    </row>
    <row r="2238" spans="1:7" x14ac:dyDescent="0.3">
      <c r="A2238" s="42">
        <v>45877</v>
      </c>
      <c r="B2238" s="43">
        <v>0.75680555555555551</v>
      </c>
      <c r="C2238" t="s">
        <v>152</v>
      </c>
      <c r="D2238" t="s">
        <v>36</v>
      </c>
      <c r="E2238" t="s">
        <v>244</v>
      </c>
      <c r="F2238">
        <v>-500</v>
      </c>
      <c r="G2238" t="s">
        <v>161</v>
      </c>
    </row>
    <row r="2239" spans="1:7" x14ac:dyDescent="0.3">
      <c r="A2239" s="42">
        <v>45877</v>
      </c>
      <c r="B2239" s="43">
        <v>0.75680555555555551</v>
      </c>
      <c r="C2239" t="s">
        <v>152</v>
      </c>
      <c r="D2239" t="s">
        <v>36</v>
      </c>
      <c r="E2239" t="s">
        <v>226</v>
      </c>
      <c r="F2239">
        <v>-3000</v>
      </c>
      <c r="G2239" t="s">
        <v>161</v>
      </c>
    </row>
    <row r="2240" spans="1:7" x14ac:dyDescent="0.3">
      <c r="A2240" s="42">
        <v>45877</v>
      </c>
      <c r="B2240" s="43">
        <v>0.72818287037037033</v>
      </c>
      <c r="C2240" t="s">
        <v>152</v>
      </c>
      <c r="D2240" t="s">
        <v>40</v>
      </c>
      <c r="E2240" t="s">
        <v>836</v>
      </c>
      <c r="F2240">
        <v>-25880</v>
      </c>
      <c r="G2240" t="s">
        <v>186</v>
      </c>
    </row>
    <row r="2241" spans="1:7" x14ac:dyDescent="0.3">
      <c r="A2241" s="42">
        <v>45877</v>
      </c>
      <c r="B2241" s="43">
        <v>0.68944444444444442</v>
      </c>
      <c r="C2241" t="s">
        <v>176</v>
      </c>
      <c r="D2241" t="s">
        <v>32</v>
      </c>
      <c r="E2241" t="s">
        <v>177</v>
      </c>
      <c r="F2241">
        <v>407500</v>
      </c>
      <c r="G2241" t="s">
        <v>61</v>
      </c>
    </row>
    <row r="2242" spans="1:7" x14ac:dyDescent="0.3">
      <c r="A2242" s="42">
        <v>45877</v>
      </c>
      <c r="B2242" s="43">
        <v>0.66101851851851856</v>
      </c>
      <c r="C2242" t="s">
        <v>152</v>
      </c>
      <c r="D2242" t="s">
        <v>42</v>
      </c>
      <c r="E2242" t="s">
        <v>183</v>
      </c>
      <c r="F2242">
        <v>-12700</v>
      </c>
      <c r="G2242" t="s">
        <v>154</v>
      </c>
    </row>
    <row r="2243" spans="1:7" x14ac:dyDescent="0.3">
      <c r="A2243" s="42">
        <v>45877</v>
      </c>
      <c r="B2243" s="43">
        <v>0.63688657407407412</v>
      </c>
      <c r="C2243" t="s">
        <v>152</v>
      </c>
      <c r="D2243" t="s">
        <v>40</v>
      </c>
      <c r="E2243" t="s">
        <v>836</v>
      </c>
      <c r="F2243">
        <v>-5000</v>
      </c>
      <c r="G2243" t="s">
        <v>186</v>
      </c>
    </row>
    <row r="2244" spans="1:7" x14ac:dyDescent="0.3">
      <c r="A2244" s="42">
        <v>45877</v>
      </c>
      <c r="B2244" s="43">
        <v>0.46251157407407412</v>
      </c>
      <c r="C2244" t="s">
        <v>152</v>
      </c>
      <c r="D2244" t="s">
        <v>44</v>
      </c>
      <c r="E2244" t="s">
        <v>190</v>
      </c>
      <c r="F2244">
        <v>-7920</v>
      </c>
      <c r="G2244" t="s">
        <v>154</v>
      </c>
    </row>
    <row r="2245" spans="1:7" x14ac:dyDescent="0.3">
      <c r="A2245" s="42">
        <v>45877</v>
      </c>
      <c r="B2245" s="43">
        <v>0.37694444444444453</v>
      </c>
      <c r="C2245" t="s">
        <v>155</v>
      </c>
      <c r="D2245" t="s">
        <v>163</v>
      </c>
      <c r="E2245" t="s">
        <v>7</v>
      </c>
      <c r="F2245">
        <v>1967208</v>
      </c>
      <c r="G2245" t="s">
        <v>61</v>
      </c>
    </row>
    <row r="2246" spans="1:7" x14ac:dyDescent="0.3">
      <c r="A2246" s="42">
        <v>45876</v>
      </c>
      <c r="B2246" s="43">
        <v>0.80417824074074074</v>
      </c>
      <c r="C2246" t="s">
        <v>152</v>
      </c>
      <c r="D2246" t="s">
        <v>44</v>
      </c>
      <c r="E2246" t="s">
        <v>430</v>
      </c>
      <c r="F2246">
        <v>-29850</v>
      </c>
      <c r="G2246" t="s">
        <v>266</v>
      </c>
    </row>
    <row r="2247" spans="1:7" x14ac:dyDescent="0.3">
      <c r="A2247" s="42">
        <v>45876</v>
      </c>
      <c r="B2247" s="43">
        <v>0.65607638888888886</v>
      </c>
      <c r="C2247" t="s">
        <v>152</v>
      </c>
      <c r="D2247" t="s">
        <v>40</v>
      </c>
      <c r="E2247" t="s">
        <v>837</v>
      </c>
      <c r="F2247">
        <v>-5110</v>
      </c>
      <c r="G2247" t="s">
        <v>186</v>
      </c>
    </row>
    <row r="2248" spans="1:7" x14ac:dyDescent="0.3">
      <c r="A2248" s="42">
        <v>45876</v>
      </c>
      <c r="B2248" s="43">
        <v>0.5097800925925926</v>
      </c>
      <c r="C2248" t="s">
        <v>152</v>
      </c>
      <c r="D2248" t="s">
        <v>49</v>
      </c>
      <c r="E2248" t="s">
        <v>838</v>
      </c>
      <c r="F2248">
        <v>-19000</v>
      </c>
      <c r="G2248" t="s">
        <v>186</v>
      </c>
    </row>
    <row r="2249" spans="1:7" x14ac:dyDescent="0.3">
      <c r="A2249" s="42">
        <v>45876</v>
      </c>
      <c r="B2249" s="43">
        <v>0.41790509259259262</v>
      </c>
      <c r="C2249" t="s">
        <v>152</v>
      </c>
      <c r="D2249" t="s">
        <v>36</v>
      </c>
      <c r="E2249" t="s">
        <v>244</v>
      </c>
      <c r="F2249">
        <v>-500</v>
      </c>
      <c r="G2249" t="s">
        <v>161</v>
      </c>
    </row>
    <row r="2250" spans="1:7" x14ac:dyDescent="0.3">
      <c r="A2250" s="42">
        <v>45876</v>
      </c>
      <c r="B2250" s="43">
        <v>0.41790509259259262</v>
      </c>
      <c r="C2250" t="s">
        <v>152</v>
      </c>
      <c r="D2250" t="s">
        <v>36</v>
      </c>
      <c r="E2250" t="s">
        <v>226</v>
      </c>
      <c r="F2250">
        <v>-3000</v>
      </c>
      <c r="G2250" t="s">
        <v>161</v>
      </c>
    </row>
    <row r="2251" spans="1:7" x14ac:dyDescent="0.3">
      <c r="A2251" s="42">
        <v>45875</v>
      </c>
      <c r="B2251" s="43">
        <v>0.84765046296296298</v>
      </c>
      <c r="C2251" t="s">
        <v>152</v>
      </c>
      <c r="D2251" t="s">
        <v>44</v>
      </c>
      <c r="E2251" t="s">
        <v>839</v>
      </c>
      <c r="F2251">
        <v>-53900</v>
      </c>
      <c r="G2251" t="s">
        <v>154</v>
      </c>
    </row>
    <row r="2252" spans="1:7" x14ac:dyDescent="0.3">
      <c r="A2252" s="42">
        <v>45875</v>
      </c>
      <c r="B2252" s="43">
        <v>0.59998842592592594</v>
      </c>
      <c r="C2252" t="s">
        <v>152</v>
      </c>
      <c r="D2252" t="s">
        <v>50</v>
      </c>
      <c r="E2252" t="s">
        <v>184</v>
      </c>
      <c r="F2252">
        <v>-8200</v>
      </c>
      <c r="G2252" t="s">
        <v>186</v>
      </c>
    </row>
    <row r="2253" spans="1:7" x14ac:dyDescent="0.3">
      <c r="A2253" s="42">
        <v>45875</v>
      </c>
      <c r="B2253" s="43">
        <v>0.57835648148148144</v>
      </c>
      <c r="C2253" t="s">
        <v>152</v>
      </c>
      <c r="D2253" t="s">
        <v>40</v>
      </c>
      <c r="E2253" t="s">
        <v>329</v>
      </c>
      <c r="F2253">
        <v>-5000</v>
      </c>
      <c r="G2253" t="s">
        <v>186</v>
      </c>
    </row>
    <row r="2254" spans="1:7" x14ac:dyDescent="0.3">
      <c r="A2254" s="42">
        <v>45875</v>
      </c>
      <c r="B2254" s="43">
        <v>0.44724537037037038</v>
      </c>
      <c r="C2254" t="s">
        <v>155</v>
      </c>
      <c r="D2254" t="s">
        <v>155</v>
      </c>
      <c r="E2254" t="s">
        <v>840</v>
      </c>
      <c r="F2254">
        <v>1</v>
      </c>
      <c r="G2254" t="s">
        <v>61</v>
      </c>
    </row>
    <row r="2255" spans="1:7" x14ac:dyDescent="0.3">
      <c r="A2255" s="42">
        <v>45875</v>
      </c>
      <c r="B2255" s="43">
        <v>0.44068287037037029</v>
      </c>
      <c r="C2255" t="s">
        <v>155</v>
      </c>
      <c r="D2255" t="s">
        <v>163</v>
      </c>
      <c r="E2255" t="s">
        <v>7</v>
      </c>
      <c r="F2255">
        <v>-2000000</v>
      </c>
      <c r="G2255" t="s">
        <v>60</v>
      </c>
    </row>
    <row r="2256" spans="1:7" x14ac:dyDescent="0.3">
      <c r="A2256" s="42">
        <v>45875</v>
      </c>
      <c r="B2256" s="43">
        <v>0.42484953703703698</v>
      </c>
      <c r="C2256" t="s">
        <v>152</v>
      </c>
      <c r="D2256" t="s">
        <v>50</v>
      </c>
      <c r="E2256" t="s">
        <v>184</v>
      </c>
      <c r="F2256">
        <v>-1600</v>
      </c>
      <c r="G2256" t="s">
        <v>186</v>
      </c>
    </row>
    <row r="2257" spans="1:7" x14ac:dyDescent="0.3">
      <c r="A2257" s="42">
        <v>45874</v>
      </c>
      <c r="B2257" s="43">
        <v>0.73498842592592595</v>
      </c>
      <c r="C2257" t="s">
        <v>152</v>
      </c>
      <c r="D2257" t="s">
        <v>44</v>
      </c>
      <c r="E2257" t="s">
        <v>383</v>
      </c>
      <c r="F2257">
        <v>-7200</v>
      </c>
      <c r="G2257" t="s">
        <v>236</v>
      </c>
    </row>
    <row r="2258" spans="1:7" x14ac:dyDescent="0.3">
      <c r="A2258" s="42">
        <v>45874</v>
      </c>
      <c r="B2258" s="43">
        <v>0.66207175925925921</v>
      </c>
      <c r="C2258" t="s">
        <v>152</v>
      </c>
      <c r="D2258" t="s">
        <v>40</v>
      </c>
      <c r="E2258" t="s">
        <v>425</v>
      </c>
      <c r="F2258">
        <v>-15940</v>
      </c>
      <c r="G2258" t="s">
        <v>266</v>
      </c>
    </row>
    <row r="2259" spans="1:7" x14ac:dyDescent="0.3">
      <c r="A2259" s="42">
        <v>45874</v>
      </c>
      <c r="B2259" s="43">
        <v>0.50677083333333328</v>
      </c>
      <c r="C2259" t="s">
        <v>152</v>
      </c>
      <c r="D2259" t="s">
        <v>49</v>
      </c>
      <c r="E2259" t="s">
        <v>841</v>
      </c>
      <c r="F2259">
        <v>-9000</v>
      </c>
      <c r="G2259" t="s">
        <v>186</v>
      </c>
    </row>
    <row r="2260" spans="1:7" x14ac:dyDescent="0.3">
      <c r="A2260" s="42">
        <v>45874</v>
      </c>
      <c r="B2260" s="43">
        <v>0.41214120370370372</v>
      </c>
      <c r="C2260" t="s">
        <v>152</v>
      </c>
      <c r="D2260" t="s">
        <v>36</v>
      </c>
      <c r="E2260" t="s">
        <v>243</v>
      </c>
      <c r="F2260">
        <v>-1500</v>
      </c>
      <c r="G2260" t="s">
        <v>161</v>
      </c>
    </row>
    <row r="2261" spans="1:7" x14ac:dyDescent="0.3">
      <c r="A2261" s="42">
        <v>45874</v>
      </c>
      <c r="B2261" s="43">
        <v>0.41214120370370372</v>
      </c>
      <c r="C2261" t="s">
        <v>152</v>
      </c>
      <c r="D2261" t="s">
        <v>36</v>
      </c>
      <c r="E2261" t="s">
        <v>244</v>
      </c>
      <c r="F2261">
        <v>-2000</v>
      </c>
      <c r="G2261" t="s">
        <v>161</v>
      </c>
    </row>
    <row r="2262" spans="1:7" x14ac:dyDescent="0.3">
      <c r="A2262" s="42">
        <v>45873</v>
      </c>
      <c r="B2262" s="43">
        <v>0.87858796296296293</v>
      </c>
      <c r="C2262" t="s">
        <v>155</v>
      </c>
      <c r="D2262" t="s">
        <v>155</v>
      </c>
      <c r="E2262" t="s">
        <v>842</v>
      </c>
      <c r="F2262">
        <v>44000</v>
      </c>
      <c r="G2262" t="s">
        <v>61</v>
      </c>
    </row>
    <row r="2263" spans="1:7" x14ac:dyDescent="0.3">
      <c r="A2263" s="42">
        <v>45873</v>
      </c>
      <c r="B2263" s="43">
        <v>0.83876157407407403</v>
      </c>
      <c r="C2263" t="s">
        <v>152</v>
      </c>
      <c r="D2263" t="s">
        <v>38</v>
      </c>
      <c r="E2263" t="s">
        <v>843</v>
      </c>
      <c r="F2263">
        <v>-100000</v>
      </c>
      <c r="G2263" t="s">
        <v>60</v>
      </c>
    </row>
    <row r="2264" spans="1:7" x14ac:dyDescent="0.3">
      <c r="A2264" s="42">
        <v>45873</v>
      </c>
      <c r="B2264" s="43">
        <v>0.71405092592592589</v>
      </c>
      <c r="C2264" t="s">
        <v>152</v>
      </c>
      <c r="D2264" t="s">
        <v>42</v>
      </c>
      <c r="E2264" t="s">
        <v>492</v>
      </c>
      <c r="F2264">
        <v>-25500</v>
      </c>
      <c r="G2264" t="s">
        <v>266</v>
      </c>
    </row>
    <row r="2265" spans="1:7" x14ac:dyDescent="0.3">
      <c r="A2265" s="42">
        <v>45873</v>
      </c>
      <c r="B2265" s="43">
        <v>0.37810185185185191</v>
      </c>
      <c r="C2265" t="s">
        <v>152</v>
      </c>
      <c r="D2265" t="s">
        <v>44</v>
      </c>
      <c r="E2265" t="s">
        <v>536</v>
      </c>
      <c r="F2265">
        <v>-38277</v>
      </c>
      <c r="G2265" t="s">
        <v>154</v>
      </c>
    </row>
    <row r="2266" spans="1:7" x14ac:dyDescent="0.3">
      <c r="A2266" s="42">
        <v>45873</v>
      </c>
      <c r="B2266" s="43">
        <v>0.36917824074074068</v>
      </c>
      <c r="C2266" t="s">
        <v>152</v>
      </c>
      <c r="D2266" t="s">
        <v>50</v>
      </c>
      <c r="E2266" t="s">
        <v>184</v>
      </c>
      <c r="F2266">
        <v>-1600</v>
      </c>
      <c r="G2266" t="s">
        <v>186</v>
      </c>
    </row>
    <row r="2267" spans="1:7" x14ac:dyDescent="0.3">
      <c r="A2267" s="42">
        <v>45872</v>
      </c>
      <c r="B2267" s="43">
        <v>0.84521990740740738</v>
      </c>
      <c r="C2267" t="s">
        <v>152</v>
      </c>
      <c r="D2267" t="s">
        <v>37</v>
      </c>
      <c r="E2267" t="s">
        <v>256</v>
      </c>
      <c r="F2267">
        <v>-382343</v>
      </c>
      <c r="G2267" t="s">
        <v>67</v>
      </c>
    </row>
    <row r="2268" spans="1:7" x14ac:dyDescent="0.3">
      <c r="A2268" s="42">
        <v>45872</v>
      </c>
      <c r="B2268" s="43">
        <v>0.84380787037037042</v>
      </c>
      <c r="C2268" t="s">
        <v>155</v>
      </c>
      <c r="D2268" t="s">
        <v>213</v>
      </c>
      <c r="E2268" t="s">
        <v>326</v>
      </c>
      <c r="F2268">
        <v>-122127</v>
      </c>
      <c r="G2268" t="s">
        <v>61</v>
      </c>
    </row>
    <row r="2269" spans="1:7" x14ac:dyDescent="0.3">
      <c r="A2269" s="42">
        <v>45872</v>
      </c>
      <c r="B2269" s="43">
        <v>0.84310185185185182</v>
      </c>
      <c r="C2269" t="s">
        <v>155</v>
      </c>
      <c r="D2269" t="s">
        <v>213</v>
      </c>
      <c r="E2269" t="s">
        <v>326</v>
      </c>
      <c r="F2269">
        <v>-748048</v>
      </c>
      <c r="G2269" t="s">
        <v>61</v>
      </c>
    </row>
    <row r="2270" spans="1:7" x14ac:dyDescent="0.3">
      <c r="A2270" s="42">
        <v>45872</v>
      </c>
      <c r="B2270" s="43">
        <v>0.83642361111111108</v>
      </c>
      <c r="C2270" t="s">
        <v>152</v>
      </c>
      <c r="D2270" t="s">
        <v>50</v>
      </c>
      <c r="E2270" t="s">
        <v>325</v>
      </c>
      <c r="F2270">
        <v>-2677921</v>
      </c>
      <c r="G2270" t="s">
        <v>61</v>
      </c>
    </row>
    <row r="2271" spans="1:7" x14ac:dyDescent="0.3">
      <c r="A2271" s="42">
        <v>45872</v>
      </c>
      <c r="B2271" s="43">
        <v>0.81800925925925927</v>
      </c>
      <c r="C2271" t="s">
        <v>152</v>
      </c>
      <c r="D2271" t="s">
        <v>44</v>
      </c>
      <c r="E2271" t="s">
        <v>190</v>
      </c>
      <c r="F2271">
        <v>-93100</v>
      </c>
      <c r="G2271" t="s">
        <v>154</v>
      </c>
    </row>
    <row r="2272" spans="1:7" x14ac:dyDescent="0.3">
      <c r="A2272" s="42">
        <v>45872</v>
      </c>
      <c r="B2272" s="43">
        <v>0.79965277777777777</v>
      </c>
      <c r="C2272" t="s">
        <v>152</v>
      </c>
      <c r="D2272" t="s">
        <v>44</v>
      </c>
      <c r="E2272" t="s">
        <v>190</v>
      </c>
      <c r="F2272">
        <v>-15800</v>
      </c>
      <c r="G2272" t="s">
        <v>154</v>
      </c>
    </row>
    <row r="2273" spans="1:7" x14ac:dyDescent="0.3">
      <c r="A2273" s="42">
        <v>45872</v>
      </c>
      <c r="B2273" s="43">
        <v>0.67550925925925931</v>
      </c>
      <c r="C2273" t="s">
        <v>152</v>
      </c>
      <c r="D2273" t="s">
        <v>44</v>
      </c>
      <c r="E2273" t="s">
        <v>190</v>
      </c>
      <c r="F2273">
        <v>-16450</v>
      </c>
      <c r="G2273" t="s">
        <v>154</v>
      </c>
    </row>
    <row r="2274" spans="1:7" x14ac:dyDescent="0.3">
      <c r="A2274" s="42">
        <v>45872</v>
      </c>
      <c r="B2274" s="43">
        <v>0.54473379629629626</v>
      </c>
      <c r="C2274" t="s">
        <v>152</v>
      </c>
      <c r="D2274" t="s">
        <v>38</v>
      </c>
      <c r="E2274" t="s">
        <v>458</v>
      </c>
      <c r="F2274">
        <v>-6000</v>
      </c>
      <c r="G2274" t="s">
        <v>266</v>
      </c>
    </row>
    <row r="2275" spans="1:7" x14ac:dyDescent="0.3">
      <c r="A2275" s="42">
        <v>45872</v>
      </c>
      <c r="B2275" s="43">
        <v>0.51472222222222219</v>
      </c>
      <c r="C2275" t="s">
        <v>152</v>
      </c>
      <c r="D2275" t="s">
        <v>38</v>
      </c>
      <c r="E2275" t="s">
        <v>458</v>
      </c>
      <c r="F2275">
        <v>-17000</v>
      </c>
      <c r="G2275" t="s">
        <v>186</v>
      </c>
    </row>
    <row r="2276" spans="1:7" x14ac:dyDescent="0.3">
      <c r="A2276" s="42">
        <v>45872</v>
      </c>
      <c r="B2276" s="43">
        <v>0.50402777777777774</v>
      </c>
      <c r="C2276" t="s">
        <v>152</v>
      </c>
      <c r="D2276" t="s">
        <v>47</v>
      </c>
      <c r="E2276" t="s">
        <v>844</v>
      </c>
      <c r="F2276">
        <v>140000</v>
      </c>
      <c r="G2276" t="s">
        <v>186</v>
      </c>
    </row>
    <row r="2277" spans="1:7" x14ac:dyDescent="0.3">
      <c r="A2277" s="42">
        <v>45872</v>
      </c>
      <c r="B2277" s="43">
        <v>0.5040162037037037</v>
      </c>
      <c r="C2277" t="s">
        <v>152</v>
      </c>
      <c r="D2277" t="s">
        <v>47</v>
      </c>
      <c r="E2277" t="s">
        <v>844</v>
      </c>
      <c r="F2277">
        <v>-71000</v>
      </c>
      <c r="G2277" t="s">
        <v>186</v>
      </c>
    </row>
    <row r="2278" spans="1:7" x14ac:dyDescent="0.3">
      <c r="A2278" s="42">
        <v>45872</v>
      </c>
      <c r="B2278" s="43">
        <v>0.50249999999999995</v>
      </c>
      <c r="C2278" t="s">
        <v>152</v>
      </c>
      <c r="D2278" t="s">
        <v>47</v>
      </c>
      <c r="E2278" t="s">
        <v>844</v>
      </c>
      <c r="F2278">
        <v>-140000</v>
      </c>
      <c r="G2278" t="s">
        <v>186</v>
      </c>
    </row>
    <row r="2279" spans="1:7" x14ac:dyDescent="0.3">
      <c r="A2279" s="42">
        <v>45872</v>
      </c>
      <c r="B2279" s="43">
        <v>0.41348379629629628</v>
      </c>
      <c r="C2279" t="s">
        <v>152</v>
      </c>
      <c r="D2279" t="s">
        <v>36</v>
      </c>
      <c r="E2279" t="s">
        <v>244</v>
      </c>
      <c r="F2279">
        <v>-500</v>
      </c>
      <c r="G2279" t="s">
        <v>161</v>
      </c>
    </row>
    <row r="2280" spans="1:7" x14ac:dyDescent="0.3">
      <c r="A2280" s="42">
        <v>45872</v>
      </c>
      <c r="B2280" s="43">
        <v>0.41348379629629628</v>
      </c>
      <c r="C2280" t="s">
        <v>152</v>
      </c>
      <c r="D2280" t="s">
        <v>36</v>
      </c>
      <c r="E2280" t="s">
        <v>226</v>
      </c>
      <c r="F2280">
        <v>-3000</v>
      </c>
      <c r="G2280" t="s">
        <v>161</v>
      </c>
    </row>
    <row r="2281" spans="1:7" x14ac:dyDescent="0.3">
      <c r="A2281" s="42">
        <v>45871</v>
      </c>
      <c r="B2281" s="43">
        <v>0.88922453703703708</v>
      </c>
      <c r="C2281" t="s">
        <v>155</v>
      </c>
      <c r="D2281" t="s">
        <v>155</v>
      </c>
      <c r="E2281" t="s">
        <v>210</v>
      </c>
      <c r="F2281">
        <v>213000</v>
      </c>
      <c r="G2281" t="s">
        <v>60</v>
      </c>
    </row>
    <row r="2282" spans="1:7" x14ac:dyDescent="0.3">
      <c r="A2282" s="42">
        <v>45871</v>
      </c>
      <c r="B2282" s="43">
        <v>0.84185185185185185</v>
      </c>
      <c r="C2282" t="s">
        <v>152</v>
      </c>
      <c r="D2282" t="s">
        <v>44</v>
      </c>
      <c r="E2282" t="s">
        <v>190</v>
      </c>
      <c r="F2282">
        <v>-8900</v>
      </c>
      <c r="G2282" t="s">
        <v>154</v>
      </c>
    </row>
    <row r="2283" spans="1:7" x14ac:dyDescent="0.3">
      <c r="A2283" s="42">
        <v>45871</v>
      </c>
      <c r="B2283" s="43">
        <v>0.74607638888888894</v>
      </c>
      <c r="C2283" t="s">
        <v>152</v>
      </c>
      <c r="D2283" t="s">
        <v>50</v>
      </c>
      <c r="E2283" t="s">
        <v>352</v>
      </c>
      <c r="F2283">
        <v>-12510</v>
      </c>
      <c r="G2283" t="s">
        <v>266</v>
      </c>
    </row>
    <row r="2284" spans="1:7" x14ac:dyDescent="0.3">
      <c r="A2284" s="42">
        <v>45871</v>
      </c>
      <c r="B2284" s="43">
        <v>0.7199768518518519</v>
      </c>
      <c r="C2284" t="s">
        <v>152</v>
      </c>
      <c r="D2284" t="s">
        <v>44</v>
      </c>
      <c r="E2284" t="s">
        <v>647</v>
      </c>
      <c r="F2284">
        <v>-28000</v>
      </c>
      <c r="G2284" t="s">
        <v>186</v>
      </c>
    </row>
    <row r="2285" spans="1:7" x14ac:dyDescent="0.3">
      <c r="A2285" s="42">
        <v>45871</v>
      </c>
      <c r="B2285" s="43">
        <v>0.71989583333333329</v>
      </c>
      <c r="C2285" t="s">
        <v>155</v>
      </c>
      <c r="D2285" t="s">
        <v>155</v>
      </c>
      <c r="E2285" t="s">
        <v>845</v>
      </c>
      <c r="F2285">
        <v>16000</v>
      </c>
      <c r="G2285" t="s">
        <v>61</v>
      </c>
    </row>
    <row r="2286" spans="1:7" x14ac:dyDescent="0.3">
      <c r="A2286" s="42">
        <v>45871</v>
      </c>
      <c r="B2286" s="43">
        <v>0.61427083333333332</v>
      </c>
      <c r="C2286" t="s">
        <v>152</v>
      </c>
      <c r="D2286" t="s">
        <v>50</v>
      </c>
      <c r="E2286" t="s">
        <v>846</v>
      </c>
      <c r="F2286">
        <v>-34700</v>
      </c>
      <c r="G2286" t="s">
        <v>186</v>
      </c>
    </row>
    <row r="2287" spans="1:7" x14ac:dyDescent="0.3">
      <c r="A2287" s="42">
        <v>45871</v>
      </c>
      <c r="B2287" s="43">
        <v>0.60553240740740744</v>
      </c>
      <c r="C2287" t="s">
        <v>155</v>
      </c>
      <c r="D2287" t="s">
        <v>155</v>
      </c>
      <c r="E2287" t="s">
        <v>847</v>
      </c>
      <c r="F2287">
        <v>9000</v>
      </c>
      <c r="G2287" t="s">
        <v>61</v>
      </c>
    </row>
    <row r="2288" spans="1:7" x14ac:dyDescent="0.3">
      <c r="A2288" s="42">
        <v>45871</v>
      </c>
      <c r="B2288" s="43">
        <v>0.5450694444444445</v>
      </c>
      <c r="C2288" t="s">
        <v>152</v>
      </c>
      <c r="D2288" t="s">
        <v>42</v>
      </c>
      <c r="E2288" t="s">
        <v>848</v>
      </c>
      <c r="F2288">
        <v>-12000</v>
      </c>
      <c r="G2288" t="s">
        <v>186</v>
      </c>
    </row>
    <row r="2289" spans="1:7" x14ac:dyDescent="0.3">
      <c r="A2289" s="42">
        <v>45871</v>
      </c>
      <c r="B2289" s="43">
        <v>0.41423611111111108</v>
      </c>
      <c r="C2289" t="s">
        <v>152</v>
      </c>
      <c r="D2289" t="s">
        <v>36</v>
      </c>
      <c r="E2289" t="s">
        <v>244</v>
      </c>
      <c r="F2289">
        <v>-3500</v>
      </c>
      <c r="G2289" t="s">
        <v>161</v>
      </c>
    </row>
    <row r="2290" spans="1:7" x14ac:dyDescent="0.3">
      <c r="A2290" s="42">
        <v>45871</v>
      </c>
      <c r="B2290" s="43">
        <v>0.35159722222222223</v>
      </c>
      <c r="C2290" t="s">
        <v>152</v>
      </c>
      <c r="D2290" t="s">
        <v>44</v>
      </c>
      <c r="E2290" t="s">
        <v>190</v>
      </c>
      <c r="F2290">
        <v>22800</v>
      </c>
      <c r="G2290" t="s">
        <v>154</v>
      </c>
    </row>
    <row r="2291" spans="1:7" x14ac:dyDescent="0.3">
      <c r="A2291" s="42">
        <v>45871</v>
      </c>
      <c r="B2291" s="43">
        <v>0.32721064814814821</v>
      </c>
      <c r="C2291" t="s">
        <v>152</v>
      </c>
      <c r="D2291" t="s">
        <v>44</v>
      </c>
      <c r="E2291" t="s">
        <v>190</v>
      </c>
      <c r="F2291">
        <v>11400</v>
      </c>
      <c r="G2291" t="s">
        <v>154</v>
      </c>
    </row>
    <row r="2292" spans="1:7" x14ac:dyDescent="0.3">
      <c r="A2292" s="42">
        <v>45871</v>
      </c>
      <c r="B2292" s="43">
        <v>0.31973379629629628</v>
      </c>
      <c r="C2292" t="s">
        <v>152</v>
      </c>
      <c r="D2292" t="s">
        <v>44</v>
      </c>
      <c r="E2292" t="s">
        <v>190</v>
      </c>
      <c r="F2292">
        <v>-22800</v>
      </c>
      <c r="G2292" t="s">
        <v>154</v>
      </c>
    </row>
    <row r="2293" spans="1:7" x14ac:dyDescent="0.3">
      <c r="A2293" s="42">
        <v>45871</v>
      </c>
      <c r="B2293" s="43">
        <v>0.31887731481481479</v>
      </c>
      <c r="C2293" t="s">
        <v>152</v>
      </c>
      <c r="D2293" t="s">
        <v>44</v>
      </c>
      <c r="E2293" t="s">
        <v>190</v>
      </c>
      <c r="F2293">
        <v>-11400</v>
      </c>
      <c r="G2293" t="s">
        <v>154</v>
      </c>
    </row>
    <row r="2294" spans="1:7" x14ac:dyDescent="0.3">
      <c r="A2294" s="42">
        <v>45870</v>
      </c>
      <c r="B2294" s="43">
        <v>0.81033564814814818</v>
      </c>
      <c r="C2294" t="s">
        <v>155</v>
      </c>
      <c r="D2294" t="s">
        <v>213</v>
      </c>
      <c r="E2294" t="s">
        <v>795</v>
      </c>
      <c r="F2294">
        <v>-66370</v>
      </c>
      <c r="G2294" t="s">
        <v>61</v>
      </c>
    </row>
    <row r="2295" spans="1:7" x14ac:dyDescent="0.3">
      <c r="A2295" s="42">
        <v>45870</v>
      </c>
      <c r="B2295" s="43">
        <v>0.41939814814814808</v>
      </c>
      <c r="C2295" t="s">
        <v>152</v>
      </c>
      <c r="D2295" t="s">
        <v>36</v>
      </c>
      <c r="E2295" t="s">
        <v>243</v>
      </c>
      <c r="F2295">
        <v>-1500</v>
      </c>
      <c r="G2295" t="s">
        <v>161</v>
      </c>
    </row>
    <row r="2296" spans="1:7" x14ac:dyDescent="0.3">
      <c r="A2296" s="42">
        <v>45870</v>
      </c>
      <c r="B2296" s="43">
        <v>0.41939814814814808</v>
      </c>
      <c r="C2296" t="s">
        <v>152</v>
      </c>
      <c r="D2296" t="s">
        <v>36</v>
      </c>
      <c r="E2296" t="s">
        <v>244</v>
      </c>
      <c r="F2296">
        <v>-1900</v>
      </c>
      <c r="G2296" t="s">
        <v>161</v>
      </c>
    </row>
    <row r="2297" spans="1:7" x14ac:dyDescent="0.3">
      <c r="A2297" s="42">
        <v>45869</v>
      </c>
      <c r="B2297" s="43">
        <v>0.54699074074074072</v>
      </c>
      <c r="C2297" t="s">
        <v>152</v>
      </c>
      <c r="D2297" t="s">
        <v>44</v>
      </c>
      <c r="E2297" t="s">
        <v>430</v>
      </c>
      <c r="F2297">
        <v>-19100</v>
      </c>
      <c r="G2297" t="s">
        <v>266</v>
      </c>
    </row>
    <row r="2298" spans="1:7" x14ac:dyDescent="0.3">
      <c r="A2298" s="42">
        <v>45869</v>
      </c>
      <c r="B2298" s="43">
        <v>0.5162268518518518</v>
      </c>
      <c r="C2298" t="s">
        <v>152</v>
      </c>
      <c r="D2298" t="s">
        <v>50</v>
      </c>
      <c r="E2298" t="s">
        <v>184</v>
      </c>
      <c r="F2298">
        <v>-8000</v>
      </c>
      <c r="G2298" t="s">
        <v>266</v>
      </c>
    </row>
    <row r="2299" spans="1:7" x14ac:dyDescent="0.3">
      <c r="A2299" s="42">
        <v>45869</v>
      </c>
      <c r="B2299" s="43">
        <v>0.45409722222222221</v>
      </c>
      <c r="C2299" t="s">
        <v>152</v>
      </c>
      <c r="D2299" t="s">
        <v>44</v>
      </c>
      <c r="E2299" t="s">
        <v>473</v>
      </c>
      <c r="F2299">
        <v>-7890</v>
      </c>
      <c r="G2299" t="s">
        <v>266</v>
      </c>
    </row>
    <row r="2300" spans="1:7" x14ac:dyDescent="0.3">
      <c r="A2300" s="42">
        <v>45868</v>
      </c>
      <c r="B2300" s="43">
        <v>0.85886574074074074</v>
      </c>
      <c r="C2300" t="s">
        <v>155</v>
      </c>
      <c r="D2300" t="s">
        <v>155</v>
      </c>
      <c r="E2300" t="s">
        <v>849</v>
      </c>
      <c r="F2300">
        <v>-9000</v>
      </c>
      <c r="G2300" t="s">
        <v>158</v>
      </c>
    </row>
    <row r="2301" spans="1:7" x14ac:dyDescent="0.3">
      <c r="A2301" s="42">
        <v>45868</v>
      </c>
      <c r="B2301" s="43">
        <v>0.72270833333333329</v>
      </c>
      <c r="C2301" t="s">
        <v>152</v>
      </c>
      <c r="D2301" t="s">
        <v>50</v>
      </c>
      <c r="E2301" t="s">
        <v>325</v>
      </c>
      <c r="F2301">
        <v>-28000</v>
      </c>
      <c r="G2301" t="s">
        <v>182</v>
      </c>
    </row>
    <row r="2302" spans="1:7" x14ac:dyDescent="0.3">
      <c r="A2302" s="42">
        <v>45868</v>
      </c>
      <c r="B2302" s="43">
        <v>0.65453703703703703</v>
      </c>
      <c r="C2302" t="s">
        <v>152</v>
      </c>
      <c r="D2302" t="s">
        <v>50</v>
      </c>
      <c r="E2302" t="s">
        <v>352</v>
      </c>
      <c r="F2302">
        <v>-2200</v>
      </c>
      <c r="G2302" t="s">
        <v>266</v>
      </c>
    </row>
    <row r="2303" spans="1:7" x14ac:dyDescent="0.3">
      <c r="A2303" s="42">
        <v>45868</v>
      </c>
      <c r="B2303" s="43">
        <v>0.51666666666666672</v>
      </c>
      <c r="C2303" t="s">
        <v>152</v>
      </c>
      <c r="D2303" t="s">
        <v>49</v>
      </c>
      <c r="E2303" t="s">
        <v>288</v>
      </c>
      <c r="F2303">
        <v>-15300</v>
      </c>
      <c r="G2303" t="s">
        <v>266</v>
      </c>
    </row>
    <row r="2304" spans="1:7" x14ac:dyDescent="0.3">
      <c r="A2304" s="42">
        <v>45868</v>
      </c>
      <c r="B2304" s="43">
        <v>0.50001157407407404</v>
      </c>
      <c r="C2304" t="s">
        <v>152</v>
      </c>
      <c r="D2304" t="s">
        <v>44</v>
      </c>
      <c r="E2304" t="s">
        <v>430</v>
      </c>
      <c r="F2304">
        <v>-20800</v>
      </c>
      <c r="G2304" t="s">
        <v>266</v>
      </c>
    </row>
    <row r="2305" spans="1:7" x14ac:dyDescent="0.3">
      <c r="A2305" s="42">
        <v>45868</v>
      </c>
      <c r="B2305" s="43">
        <v>0.47400462962962958</v>
      </c>
      <c r="C2305" t="s">
        <v>176</v>
      </c>
      <c r="D2305" t="s">
        <v>28</v>
      </c>
      <c r="E2305" t="s">
        <v>850</v>
      </c>
      <c r="F2305">
        <v>20000</v>
      </c>
      <c r="G2305" t="s">
        <v>61</v>
      </c>
    </row>
    <row r="2306" spans="1:7" x14ac:dyDescent="0.3">
      <c r="A2306" s="42">
        <v>45868</v>
      </c>
      <c r="B2306" s="43">
        <v>0.47400462962962958</v>
      </c>
      <c r="C2306" t="s">
        <v>176</v>
      </c>
      <c r="D2306" t="s">
        <v>28</v>
      </c>
      <c r="E2306" t="s">
        <v>850</v>
      </c>
      <c r="F2306">
        <v>40000</v>
      </c>
      <c r="G2306" t="s">
        <v>61</v>
      </c>
    </row>
    <row r="2307" spans="1:7" x14ac:dyDescent="0.3">
      <c r="A2307" s="42">
        <v>45867</v>
      </c>
      <c r="B2307" s="43">
        <v>0.75515046296296295</v>
      </c>
      <c r="C2307" t="s">
        <v>152</v>
      </c>
      <c r="D2307" t="s">
        <v>37</v>
      </c>
      <c r="E2307" t="s">
        <v>165</v>
      </c>
      <c r="F2307">
        <v>-50000</v>
      </c>
      <c r="G2307" t="s">
        <v>158</v>
      </c>
    </row>
    <row r="2308" spans="1:7" x14ac:dyDescent="0.3">
      <c r="A2308" s="42">
        <v>45867</v>
      </c>
      <c r="B2308" s="43">
        <v>0.59075231481481483</v>
      </c>
      <c r="C2308" t="s">
        <v>152</v>
      </c>
      <c r="D2308" t="s">
        <v>50</v>
      </c>
      <c r="E2308" t="s">
        <v>184</v>
      </c>
      <c r="F2308">
        <v>-3200</v>
      </c>
      <c r="G2308" t="s">
        <v>266</v>
      </c>
    </row>
    <row r="2309" spans="1:7" x14ac:dyDescent="0.3">
      <c r="A2309" s="42">
        <v>45866</v>
      </c>
      <c r="B2309" s="43">
        <v>0.82309027777777777</v>
      </c>
      <c r="C2309" t="s">
        <v>152</v>
      </c>
      <c r="D2309" t="s">
        <v>44</v>
      </c>
      <c r="E2309" t="s">
        <v>430</v>
      </c>
      <c r="F2309">
        <v>-77800</v>
      </c>
      <c r="G2309" t="s">
        <v>266</v>
      </c>
    </row>
    <row r="2310" spans="1:7" x14ac:dyDescent="0.3">
      <c r="A2310" s="42">
        <v>45866</v>
      </c>
      <c r="B2310" s="43">
        <v>0.716400462962963</v>
      </c>
      <c r="C2310" t="s">
        <v>152</v>
      </c>
      <c r="D2310" t="s">
        <v>40</v>
      </c>
      <c r="E2310" t="s">
        <v>425</v>
      </c>
      <c r="F2310">
        <v>-2740</v>
      </c>
      <c r="G2310" t="s">
        <v>266</v>
      </c>
    </row>
    <row r="2311" spans="1:7" x14ac:dyDescent="0.3">
      <c r="A2311" s="42">
        <v>45866</v>
      </c>
      <c r="B2311" s="43">
        <v>0.69125000000000003</v>
      </c>
      <c r="C2311" t="s">
        <v>152</v>
      </c>
      <c r="D2311" t="s">
        <v>50</v>
      </c>
      <c r="E2311" t="s">
        <v>353</v>
      </c>
      <c r="F2311">
        <v>-9000</v>
      </c>
      <c r="G2311" t="s">
        <v>266</v>
      </c>
    </row>
    <row r="2312" spans="1:7" x14ac:dyDescent="0.3">
      <c r="A2312" s="42">
        <v>45866</v>
      </c>
      <c r="B2312" s="43">
        <v>0.5502083333333333</v>
      </c>
      <c r="C2312" t="s">
        <v>152</v>
      </c>
      <c r="D2312" t="s">
        <v>49</v>
      </c>
      <c r="E2312" t="s">
        <v>288</v>
      </c>
      <c r="F2312">
        <v>-5300</v>
      </c>
      <c r="G2312" t="s">
        <v>154</v>
      </c>
    </row>
    <row r="2313" spans="1:7" x14ac:dyDescent="0.3">
      <c r="A2313" s="42">
        <v>45866</v>
      </c>
      <c r="B2313" s="43">
        <v>0.49233796296296289</v>
      </c>
      <c r="C2313" t="s">
        <v>155</v>
      </c>
      <c r="D2313" t="s">
        <v>163</v>
      </c>
      <c r="E2313" t="s">
        <v>223</v>
      </c>
      <c r="F2313">
        <v>64</v>
      </c>
      <c r="G2313" t="s">
        <v>68</v>
      </c>
    </row>
    <row r="2314" spans="1:7" x14ac:dyDescent="0.3">
      <c r="A2314" s="42">
        <v>45866</v>
      </c>
      <c r="B2314" s="43">
        <v>0.49233796296296289</v>
      </c>
      <c r="C2314" t="s">
        <v>155</v>
      </c>
      <c r="D2314" t="s">
        <v>163</v>
      </c>
      <c r="E2314" t="s">
        <v>68</v>
      </c>
      <c r="F2314">
        <v>-64</v>
      </c>
      <c r="G2314" t="s">
        <v>67</v>
      </c>
    </row>
    <row r="2315" spans="1:7" x14ac:dyDescent="0.3">
      <c r="A2315" s="42">
        <v>45866</v>
      </c>
      <c r="B2315" s="43">
        <v>0.42394675925925918</v>
      </c>
      <c r="C2315" t="s">
        <v>152</v>
      </c>
      <c r="D2315" t="s">
        <v>36</v>
      </c>
      <c r="E2315" t="s">
        <v>243</v>
      </c>
      <c r="F2315">
        <v>-1500</v>
      </c>
      <c r="G2315" t="s">
        <v>161</v>
      </c>
    </row>
    <row r="2316" spans="1:7" x14ac:dyDescent="0.3">
      <c r="A2316" s="42">
        <v>45866</v>
      </c>
      <c r="B2316" s="43">
        <v>0.42394675925925918</v>
      </c>
      <c r="C2316" t="s">
        <v>152</v>
      </c>
      <c r="D2316" t="s">
        <v>36</v>
      </c>
      <c r="E2316" t="s">
        <v>225</v>
      </c>
      <c r="F2316">
        <v>-1800</v>
      </c>
      <c r="G2316" t="s">
        <v>161</v>
      </c>
    </row>
    <row r="2317" spans="1:7" x14ac:dyDescent="0.3">
      <c r="A2317" s="42">
        <v>45865</v>
      </c>
      <c r="B2317" s="43">
        <v>0.7603819444444444</v>
      </c>
      <c r="C2317" t="s">
        <v>152</v>
      </c>
      <c r="D2317" t="s">
        <v>49</v>
      </c>
      <c r="E2317" t="s">
        <v>499</v>
      </c>
      <c r="F2317">
        <v>-1900</v>
      </c>
      <c r="G2317" t="s">
        <v>266</v>
      </c>
    </row>
    <row r="2318" spans="1:7" x14ac:dyDescent="0.3">
      <c r="A2318" s="42">
        <v>45865</v>
      </c>
      <c r="B2318" s="43">
        <v>0.49515046296296289</v>
      </c>
      <c r="C2318" t="s">
        <v>152</v>
      </c>
      <c r="D2318" t="s">
        <v>44</v>
      </c>
      <c r="E2318" t="s">
        <v>190</v>
      </c>
      <c r="F2318">
        <v>-7700</v>
      </c>
      <c r="G2318" t="s">
        <v>154</v>
      </c>
    </row>
    <row r="2319" spans="1:7" x14ac:dyDescent="0.3">
      <c r="A2319" s="42">
        <v>45865</v>
      </c>
      <c r="B2319" s="43">
        <v>0.48020833333333329</v>
      </c>
      <c r="C2319" t="s">
        <v>152</v>
      </c>
      <c r="D2319" t="s">
        <v>42</v>
      </c>
      <c r="E2319" t="s">
        <v>481</v>
      </c>
      <c r="F2319">
        <v>-25000</v>
      </c>
      <c r="G2319" t="s">
        <v>266</v>
      </c>
    </row>
    <row r="2320" spans="1:7" x14ac:dyDescent="0.3">
      <c r="A2320" s="42">
        <v>45865</v>
      </c>
      <c r="B2320" s="43">
        <v>0.41554398148148147</v>
      </c>
      <c r="C2320" t="s">
        <v>152</v>
      </c>
      <c r="D2320" t="s">
        <v>36</v>
      </c>
      <c r="E2320" t="s">
        <v>244</v>
      </c>
      <c r="F2320">
        <v>-500</v>
      </c>
      <c r="G2320" t="s">
        <v>161</v>
      </c>
    </row>
    <row r="2321" spans="1:7" x14ac:dyDescent="0.3">
      <c r="A2321" s="42">
        <v>45865</v>
      </c>
      <c r="B2321" s="43">
        <v>0.41554398148148147</v>
      </c>
      <c r="C2321" t="s">
        <v>152</v>
      </c>
      <c r="D2321" t="s">
        <v>36</v>
      </c>
      <c r="E2321" t="s">
        <v>226</v>
      </c>
      <c r="F2321">
        <v>-3000</v>
      </c>
      <c r="G2321" t="s">
        <v>161</v>
      </c>
    </row>
    <row r="2322" spans="1:7" x14ac:dyDescent="0.3">
      <c r="A2322" s="42">
        <v>45864</v>
      </c>
      <c r="B2322" s="43">
        <v>0.91905092592592597</v>
      </c>
      <c r="C2322" t="s">
        <v>152</v>
      </c>
      <c r="D2322" t="s">
        <v>47</v>
      </c>
      <c r="E2322" t="s">
        <v>677</v>
      </c>
      <c r="F2322">
        <v>-4200</v>
      </c>
      <c r="G2322" t="s">
        <v>266</v>
      </c>
    </row>
    <row r="2323" spans="1:7" x14ac:dyDescent="0.3">
      <c r="A2323" s="42">
        <v>45864</v>
      </c>
      <c r="B2323" s="43">
        <v>0.75570601851851849</v>
      </c>
      <c r="C2323" t="s">
        <v>152</v>
      </c>
      <c r="D2323" t="s">
        <v>47</v>
      </c>
      <c r="E2323" t="s">
        <v>851</v>
      </c>
      <c r="F2323">
        <v>-3000</v>
      </c>
      <c r="G2323" t="s">
        <v>266</v>
      </c>
    </row>
    <row r="2324" spans="1:7" x14ac:dyDescent="0.3">
      <c r="A2324" s="42">
        <v>45864</v>
      </c>
      <c r="B2324" s="43">
        <v>0.71711805555555552</v>
      </c>
      <c r="C2324" t="s">
        <v>152</v>
      </c>
      <c r="D2324" t="s">
        <v>38</v>
      </c>
      <c r="E2324" t="s">
        <v>852</v>
      </c>
      <c r="F2324">
        <v>-10500</v>
      </c>
      <c r="G2324" t="s">
        <v>266</v>
      </c>
    </row>
    <row r="2325" spans="1:7" x14ac:dyDescent="0.3">
      <c r="A2325" s="42">
        <v>45864</v>
      </c>
      <c r="B2325" s="43">
        <v>0.55798611111111107</v>
      </c>
      <c r="C2325" t="s">
        <v>152</v>
      </c>
      <c r="D2325" t="s">
        <v>49</v>
      </c>
      <c r="E2325" t="s">
        <v>338</v>
      </c>
      <c r="F2325">
        <v>-3290</v>
      </c>
      <c r="G2325" t="s">
        <v>154</v>
      </c>
    </row>
    <row r="2326" spans="1:7" x14ac:dyDescent="0.3">
      <c r="A2326" s="42">
        <v>45864</v>
      </c>
      <c r="B2326" s="43">
        <v>0.50958333333333339</v>
      </c>
      <c r="C2326" t="s">
        <v>152</v>
      </c>
      <c r="D2326" t="s">
        <v>50</v>
      </c>
      <c r="E2326" t="s">
        <v>853</v>
      </c>
      <c r="F2326">
        <v>-18500</v>
      </c>
      <c r="G2326" t="s">
        <v>266</v>
      </c>
    </row>
    <row r="2327" spans="1:7" x14ac:dyDescent="0.3">
      <c r="A2327" s="42">
        <v>45864</v>
      </c>
      <c r="B2327" s="43">
        <v>0.41625000000000001</v>
      </c>
      <c r="C2327" t="s">
        <v>152</v>
      </c>
      <c r="D2327" t="s">
        <v>36</v>
      </c>
      <c r="E2327" t="s">
        <v>244</v>
      </c>
      <c r="F2327">
        <v>-500</v>
      </c>
      <c r="G2327" t="s">
        <v>161</v>
      </c>
    </row>
    <row r="2328" spans="1:7" x14ac:dyDescent="0.3">
      <c r="A2328" s="42">
        <v>45864</v>
      </c>
      <c r="B2328" s="43">
        <v>0.41625000000000001</v>
      </c>
      <c r="C2328" t="s">
        <v>152</v>
      </c>
      <c r="D2328" t="s">
        <v>36</v>
      </c>
      <c r="E2328" t="s">
        <v>226</v>
      </c>
      <c r="F2328">
        <v>-3000</v>
      </c>
      <c r="G2328" t="s">
        <v>161</v>
      </c>
    </row>
    <row r="2329" spans="1:7" x14ac:dyDescent="0.3">
      <c r="A2329" s="42">
        <v>45864</v>
      </c>
      <c r="B2329" s="43">
        <v>0.39877314814814813</v>
      </c>
      <c r="C2329" t="s">
        <v>152</v>
      </c>
      <c r="D2329" t="s">
        <v>47</v>
      </c>
      <c r="E2329" t="s">
        <v>854</v>
      </c>
      <c r="F2329">
        <v>-70000</v>
      </c>
      <c r="G2329" t="s">
        <v>266</v>
      </c>
    </row>
    <row r="2330" spans="1:7" x14ac:dyDescent="0.3">
      <c r="A2330" s="42">
        <v>45864</v>
      </c>
      <c r="B2330" s="43">
        <v>0.25843749999999999</v>
      </c>
      <c r="C2330" t="s">
        <v>176</v>
      </c>
      <c r="D2330" t="s">
        <v>28</v>
      </c>
      <c r="E2330" t="s">
        <v>241</v>
      </c>
      <c r="F2330">
        <v>0</v>
      </c>
      <c r="G2330" t="s">
        <v>63</v>
      </c>
    </row>
    <row r="2331" spans="1:7" x14ac:dyDescent="0.3">
      <c r="A2331" s="42">
        <v>45864</v>
      </c>
      <c r="B2331" s="43">
        <v>0.17656250000000001</v>
      </c>
      <c r="C2331" t="s">
        <v>176</v>
      </c>
      <c r="D2331" t="s">
        <v>28</v>
      </c>
      <c r="E2331" t="s">
        <v>240</v>
      </c>
      <c r="F2331">
        <v>64</v>
      </c>
      <c r="G2331" t="s">
        <v>67</v>
      </c>
    </row>
    <row r="2332" spans="1:7" x14ac:dyDescent="0.3">
      <c r="A2332" s="42">
        <v>45864</v>
      </c>
      <c r="B2332" s="43">
        <v>0.16549768518518521</v>
      </c>
      <c r="C2332" t="s">
        <v>176</v>
      </c>
      <c r="D2332" t="s">
        <v>28</v>
      </c>
      <c r="E2332" t="s">
        <v>240</v>
      </c>
      <c r="F2332">
        <v>1109</v>
      </c>
      <c r="G2332" t="s">
        <v>67</v>
      </c>
    </row>
    <row r="2333" spans="1:7" x14ac:dyDescent="0.3">
      <c r="A2333" s="42">
        <v>45864</v>
      </c>
      <c r="B2333" s="43">
        <v>9.0520833333333328E-2</v>
      </c>
      <c r="C2333" t="s">
        <v>155</v>
      </c>
      <c r="D2333" t="s">
        <v>217</v>
      </c>
      <c r="E2333" t="s">
        <v>242</v>
      </c>
      <c r="F2333">
        <v>123</v>
      </c>
      <c r="G2333" t="s">
        <v>68</v>
      </c>
    </row>
    <row r="2334" spans="1:7" x14ac:dyDescent="0.3">
      <c r="A2334" s="42">
        <v>45863</v>
      </c>
      <c r="B2334" s="43">
        <v>0.84607638888888892</v>
      </c>
      <c r="C2334" t="s">
        <v>152</v>
      </c>
      <c r="D2334" t="s">
        <v>37</v>
      </c>
      <c r="E2334" t="s">
        <v>855</v>
      </c>
      <c r="F2334">
        <v>-20000</v>
      </c>
      <c r="G2334" t="s">
        <v>61</v>
      </c>
    </row>
    <row r="2335" spans="1:7" x14ac:dyDescent="0.3">
      <c r="A2335" s="42">
        <v>45863</v>
      </c>
      <c r="B2335" s="43">
        <v>0.80958333333333332</v>
      </c>
      <c r="C2335" t="s">
        <v>152</v>
      </c>
      <c r="D2335" t="s">
        <v>37</v>
      </c>
      <c r="E2335" t="s">
        <v>856</v>
      </c>
      <c r="F2335">
        <v>-153079</v>
      </c>
      <c r="G2335" t="s">
        <v>60</v>
      </c>
    </row>
    <row r="2336" spans="1:7" x14ac:dyDescent="0.3">
      <c r="A2336" s="42">
        <v>45863</v>
      </c>
      <c r="B2336" s="43">
        <v>0.80798611111111107</v>
      </c>
      <c r="C2336" t="s">
        <v>152</v>
      </c>
      <c r="D2336" t="s">
        <v>40</v>
      </c>
      <c r="E2336" t="s">
        <v>857</v>
      </c>
      <c r="F2336">
        <v>-258304</v>
      </c>
      <c r="G2336" t="s">
        <v>61</v>
      </c>
    </row>
    <row r="2337" spans="1:7" x14ac:dyDescent="0.3">
      <c r="A2337" s="42">
        <v>45863</v>
      </c>
      <c r="B2337" s="43">
        <v>0.7330092592592593</v>
      </c>
      <c r="C2337" t="s">
        <v>152</v>
      </c>
      <c r="D2337" t="s">
        <v>42</v>
      </c>
      <c r="E2337" t="s">
        <v>481</v>
      </c>
      <c r="F2337">
        <v>-70000</v>
      </c>
      <c r="G2337" t="s">
        <v>266</v>
      </c>
    </row>
    <row r="2338" spans="1:7" x14ac:dyDescent="0.3">
      <c r="A2338" s="42">
        <v>45863</v>
      </c>
      <c r="B2338" s="43">
        <v>0.68337962962962961</v>
      </c>
      <c r="C2338" t="s">
        <v>152</v>
      </c>
      <c r="D2338" t="s">
        <v>50</v>
      </c>
      <c r="E2338" t="s">
        <v>230</v>
      </c>
      <c r="F2338">
        <v>-3000</v>
      </c>
      <c r="G2338" t="s">
        <v>266</v>
      </c>
    </row>
    <row r="2339" spans="1:7" x14ac:dyDescent="0.3">
      <c r="A2339" s="42">
        <v>45863</v>
      </c>
      <c r="B2339" s="43">
        <v>0.68109953703703707</v>
      </c>
      <c r="C2339" t="s">
        <v>152</v>
      </c>
      <c r="D2339" t="s">
        <v>40</v>
      </c>
      <c r="E2339" t="s">
        <v>858</v>
      </c>
      <c r="F2339">
        <v>-16990</v>
      </c>
      <c r="G2339" t="s">
        <v>266</v>
      </c>
    </row>
    <row r="2340" spans="1:7" x14ac:dyDescent="0.3">
      <c r="A2340" s="42">
        <v>45863</v>
      </c>
      <c r="B2340" s="43">
        <v>0.67799768518518522</v>
      </c>
      <c r="C2340" t="s">
        <v>152</v>
      </c>
      <c r="D2340" t="s">
        <v>40</v>
      </c>
      <c r="E2340" t="s">
        <v>859</v>
      </c>
      <c r="F2340">
        <v>-2000</v>
      </c>
      <c r="G2340" t="s">
        <v>266</v>
      </c>
    </row>
    <row r="2341" spans="1:7" x14ac:dyDescent="0.3">
      <c r="A2341" s="42">
        <v>45863</v>
      </c>
      <c r="B2341" s="43">
        <v>0.42954861111111109</v>
      </c>
      <c r="C2341" t="s">
        <v>152</v>
      </c>
      <c r="D2341" t="s">
        <v>37</v>
      </c>
      <c r="E2341" t="s">
        <v>498</v>
      </c>
      <c r="F2341">
        <v>-99000</v>
      </c>
      <c r="G2341" t="s">
        <v>266</v>
      </c>
    </row>
    <row r="2342" spans="1:7" x14ac:dyDescent="0.3">
      <c r="A2342" s="42">
        <v>45863</v>
      </c>
      <c r="B2342" s="43">
        <v>0.37557870370370372</v>
      </c>
      <c r="C2342" t="s">
        <v>152</v>
      </c>
      <c r="D2342" t="s">
        <v>44</v>
      </c>
      <c r="E2342" t="s">
        <v>190</v>
      </c>
      <c r="F2342">
        <v>-9130</v>
      </c>
      <c r="G2342" t="s">
        <v>154</v>
      </c>
    </row>
    <row r="2343" spans="1:7" x14ac:dyDescent="0.3">
      <c r="A2343" s="42">
        <v>45863</v>
      </c>
      <c r="B2343" s="43">
        <v>5.2233796296296299E-2</v>
      </c>
      <c r="C2343" t="s">
        <v>176</v>
      </c>
      <c r="D2343" t="s">
        <v>29</v>
      </c>
      <c r="E2343" t="s">
        <v>509</v>
      </c>
      <c r="F2343">
        <v>500000</v>
      </c>
      <c r="G2343" t="s">
        <v>64</v>
      </c>
    </row>
    <row r="2344" spans="1:7" x14ac:dyDescent="0.3">
      <c r="A2344" s="42">
        <v>45863</v>
      </c>
      <c r="B2344" s="43">
        <v>4.7500000000000001E-2</v>
      </c>
      <c r="C2344" t="s">
        <v>155</v>
      </c>
      <c r="D2344" t="s">
        <v>217</v>
      </c>
      <c r="E2344" t="s">
        <v>603</v>
      </c>
      <c r="F2344">
        <v>100000</v>
      </c>
      <c r="G2344" t="s">
        <v>64</v>
      </c>
    </row>
    <row r="2345" spans="1:7" x14ac:dyDescent="0.3">
      <c r="A2345" s="42">
        <v>45863</v>
      </c>
      <c r="B2345" s="43">
        <v>4.2372685185185187E-2</v>
      </c>
      <c r="C2345" t="s">
        <v>152</v>
      </c>
      <c r="D2345" t="s">
        <v>48</v>
      </c>
      <c r="E2345" t="s">
        <v>251</v>
      </c>
      <c r="F2345">
        <v>-300</v>
      </c>
      <c r="G2345" t="s">
        <v>154</v>
      </c>
    </row>
    <row r="2346" spans="1:7" x14ac:dyDescent="0.3">
      <c r="A2346" s="42">
        <v>45862</v>
      </c>
      <c r="B2346" s="43">
        <v>0.74174768518518519</v>
      </c>
      <c r="C2346" t="s">
        <v>152</v>
      </c>
      <c r="D2346" t="s">
        <v>42</v>
      </c>
      <c r="E2346" t="s">
        <v>690</v>
      </c>
      <c r="F2346">
        <v>-97240</v>
      </c>
      <c r="G2346" t="s">
        <v>182</v>
      </c>
    </row>
    <row r="2347" spans="1:7" x14ac:dyDescent="0.3">
      <c r="A2347" s="42">
        <v>45862</v>
      </c>
      <c r="B2347" s="43">
        <v>0.67261574074074071</v>
      </c>
      <c r="C2347" t="s">
        <v>152</v>
      </c>
      <c r="D2347" t="s">
        <v>40</v>
      </c>
      <c r="E2347" t="s">
        <v>425</v>
      </c>
      <c r="F2347">
        <v>-15370</v>
      </c>
      <c r="G2347" t="s">
        <v>182</v>
      </c>
    </row>
    <row r="2348" spans="1:7" x14ac:dyDescent="0.3">
      <c r="A2348" s="42">
        <v>45862</v>
      </c>
      <c r="B2348" s="43">
        <v>0.65570601851851851</v>
      </c>
      <c r="C2348" t="s">
        <v>152</v>
      </c>
      <c r="D2348" t="s">
        <v>50</v>
      </c>
      <c r="E2348" t="s">
        <v>353</v>
      </c>
      <c r="F2348">
        <v>-152400</v>
      </c>
      <c r="G2348" t="s">
        <v>182</v>
      </c>
    </row>
    <row r="2349" spans="1:7" x14ac:dyDescent="0.3">
      <c r="A2349" s="42">
        <v>45862</v>
      </c>
      <c r="B2349" s="43">
        <v>0.65497685185185184</v>
      </c>
      <c r="C2349" t="s">
        <v>152</v>
      </c>
      <c r="D2349" t="s">
        <v>50</v>
      </c>
      <c r="E2349" t="s">
        <v>353</v>
      </c>
      <c r="F2349">
        <v>-134000</v>
      </c>
      <c r="G2349" t="s">
        <v>182</v>
      </c>
    </row>
    <row r="2350" spans="1:7" x14ac:dyDescent="0.3">
      <c r="A2350" s="42">
        <v>45862</v>
      </c>
      <c r="B2350" s="43">
        <v>0.61540509259259257</v>
      </c>
      <c r="C2350" t="s">
        <v>152</v>
      </c>
      <c r="D2350" t="s">
        <v>50</v>
      </c>
      <c r="E2350" t="s">
        <v>352</v>
      </c>
      <c r="F2350">
        <v>-11700</v>
      </c>
      <c r="G2350" t="s">
        <v>182</v>
      </c>
    </row>
    <row r="2351" spans="1:7" x14ac:dyDescent="0.3">
      <c r="A2351" s="42">
        <v>45862</v>
      </c>
      <c r="B2351" s="43">
        <v>0.61459490740740741</v>
      </c>
      <c r="C2351" t="s">
        <v>152</v>
      </c>
      <c r="D2351" t="s">
        <v>44</v>
      </c>
      <c r="E2351" t="s">
        <v>628</v>
      </c>
      <c r="F2351">
        <v>-9075</v>
      </c>
      <c r="G2351" t="s">
        <v>266</v>
      </c>
    </row>
    <row r="2352" spans="1:7" x14ac:dyDescent="0.3">
      <c r="A2352" s="42">
        <v>45862</v>
      </c>
      <c r="B2352" s="43">
        <v>0.50898148148148148</v>
      </c>
      <c r="C2352" t="s">
        <v>152</v>
      </c>
      <c r="D2352" t="s">
        <v>50</v>
      </c>
      <c r="E2352" t="s">
        <v>184</v>
      </c>
      <c r="F2352">
        <v>-12800</v>
      </c>
      <c r="G2352" t="s">
        <v>266</v>
      </c>
    </row>
    <row r="2353" spans="1:7" x14ac:dyDescent="0.3">
      <c r="A2353" s="42">
        <v>45862</v>
      </c>
      <c r="B2353" s="43">
        <v>0.39773148148148152</v>
      </c>
      <c r="C2353" t="s">
        <v>155</v>
      </c>
      <c r="D2353" t="s">
        <v>155</v>
      </c>
      <c r="E2353" t="s">
        <v>860</v>
      </c>
      <c r="F2353">
        <v>11000</v>
      </c>
      <c r="G2353" t="s">
        <v>61</v>
      </c>
    </row>
    <row r="2354" spans="1:7" x14ac:dyDescent="0.3">
      <c r="A2354" s="42">
        <v>45861</v>
      </c>
      <c r="B2354" s="43">
        <v>0.82623842592592589</v>
      </c>
      <c r="C2354" t="s">
        <v>152</v>
      </c>
      <c r="D2354" t="s">
        <v>37</v>
      </c>
      <c r="E2354" t="s">
        <v>861</v>
      </c>
      <c r="F2354">
        <v>-16900</v>
      </c>
      <c r="G2354" t="s">
        <v>60</v>
      </c>
    </row>
    <row r="2355" spans="1:7" x14ac:dyDescent="0.3">
      <c r="A2355" s="42">
        <v>45861</v>
      </c>
      <c r="B2355" s="43">
        <v>0.81552083333333336</v>
      </c>
      <c r="C2355" t="s">
        <v>152</v>
      </c>
      <c r="D2355" t="s">
        <v>37</v>
      </c>
      <c r="E2355" t="s">
        <v>862</v>
      </c>
      <c r="F2355">
        <v>-12555</v>
      </c>
      <c r="G2355" t="s">
        <v>61</v>
      </c>
    </row>
    <row r="2356" spans="1:7" x14ac:dyDescent="0.3">
      <c r="A2356" s="42">
        <v>45861</v>
      </c>
      <c r="B2356" s="43">
        <v>0.76005787037037043</v>
      </c>
      <c r="C2356" t="s">
        <v>152</v>
      </c>
      <c r="D2356" t="s">
        <v>37</v>
      </c>
      <c r="E2356" t="s">
        <v>256</v>
      </c>
      <c r="F2356">
        <v>-101500</v>
      </c>
      <c r="G2356" t="s">
        <v>67</v>
      </c>
    </row>
    <row r="2357" spans="1:7" x14ac:dyDescent="0.3">
      <c r="A2357" s="42">
        <v>45861</v>
      </c>
      <c r="B2357" s="43">
        <v>0.51848379629629626</v>
      </c>
      <c r="C2357" t="s">
        <v>152</v>
      </c>
      <c r="D2357" t="s">
        <v>50</v>
      </c>
      <c r="E2357" t="s">
        <v>184</v>
      </c>
      <c r="F2357">
        <v>-4800</v>
      </c>
      <c r="G2357" t="s">
        <v>266</v>
      </c>
    </row>
    <row r="2358" spans="1:7" x14ac:dyDescent="0.3">
      <c r="A2358" s="42">
        <v>45861</v>
      </c>
      <c r="B2358" s="43">
        <v>0.47337962962962971</v>
      </c>
      <c r="C2358" t="s">
        <v>155</v>
      </c>
      <c r="D2358" t="s">
        <v>163</v>
      </c>
      <c r="E2358" t="s">
        <v>223</v>
      </c>
      <c r="F2358">
        <v>959</v>
      </c>
      <c r="G2358" t="s">
        <v>68</v>
      </c>
    </row>
    <row r="2359" spans="1:7" x14ac:dyDescent="0.3">
      <c r="A2359" s="42">
        <v>45861</v>
      </c>
      <c r="B2359" s="43">
        <v>0.47337962962962971</v>
      </c>
      <c r="C2359" t="s">
        <v>155</v>
      </c>
      <c r="D2359" t="s">
        <v>163</v>
      </c>
      <c r="E2359" t="s">
        <v>68</v>
      </c>
      <c r="F2359">
        <v>-959</v>
      </c>
      <c r="G2359" t="s">
        <v>67</v>
      </c>
    </row>
    <row r="2360" spans="1:7" x14ac:dyDescent="0.3">
      <c r="A2360" s="42">
        <v>45860</v>
      </c>
      <c r="B2360" s="43">
        <v>0.61993055555555554</v>
      </c>
      <c r="C2360" t="s">
        <v>152</v>
      </c>
      <c r="D2360" t="s">
        <v>40</v>
      </c>
      <c r="E2360" t="s">
        <v>455</v>
      </c>
      <c r="F2360">
        <v>-2000</v>
      </c>
      <c r="G2360" t="s">
        <v>266</v>
      </c>
    </row>
    <row r="2361" spans="1:7" x14ac:dyDescent="0.3">
      <c r="A2361" s="42">
        <v>45860</v>
      </c>
      <c r="B2361" s="43">
        <v>0.61931712962962959</v>
      </c>
      <c r="C2361" t="s">
        <v>152</v>
      </c>
      <c r="D2361" t="s">
        <v>40</v>
      </c>
      <c r="E2361" t="s">
        <v>455</v>
      </c>
      <c r="F2361">
        <v>-11000</v>
      </c>
      <c r="G2361" t="s">
        <v>266</v>
      </c>
    </row>
    <row r="2362" spans="1:7" x14ac:dyDescent="0.3">
      <c r="A2362" s="42">
        <v>45860</v>
      </c>
      <c r="B2362" s="43">
        <v>0.54859953703703701</v>
      </c>
      <c r="C2362" t="s">
        <v>152</v>
      </c>
      <c r="D2362" t="s">
        <v>42</v>
      </c>
      <c r="E2362" t="s">
        <v>863</v>
      </c>
      <c r="F2362">
        <v>-39800</v>
      </c>
      <c r="G2362" t="s">
        <v>266</v>
      </c>
    </row>
    <row r="2363" spans="1:7" x14ac:dyDescent="0.3">
      <c r="A2363" s="42">
        <v>45860</v>
      </c>
      <c r="B2363" s="43">
        <v>0.35752314814814817</v>
      </c>
      <c r="C2363" t="s">
        <v>152</v>
      </c>
      <c r="D2363" t="s">
        <v>37</v>
      </c>
      <c r="E2363" t="s">
        <v>366</v>
      </c>
      <c r="F2363">
        <v>-219041</v>
      </c>
      <c r="G2363" t="s">
        <v>67</v>
      </c>
    </row>
    <row r="2364" spans="1:7" x14ac:dyDescent="0.3">
      <c r="A2364" s="42">
        <v>45859</v>
      </c>
      <c r="B2364" s="43">
        <v>0.85780092592592594</v>
      </c>
      <c r="C2364" t="s">
        <v>152</v>
      </c>
      <c r="D2364" t="s">
        <v>40</v>
      </c>
      <c r="E2364" t="s">
        <v>864</v>
      </c>
      <c r="F2364">
        <v>-3000</v>
      </c>
      <c r="G2364" t="s">
        <v>266</v>
      </c>
    </row>
    <row r="2365" spans="1:7" x14ac:dyDescent="0.3">
      <c r="A2365" s="42">
        <v>45859</v>
      </c>
      <c r="B2365" s="43">
        <v>0.80087962962962966</v>
      </c>
      <c r="C2365" t="s">
        <v>152</v>
      </c>
      <c r="D2365" t="s">
        <v>42</v>
      </c>
      <c r="E2365" t="s">
        <v>865</v>
      </c>
      <c r="F2365">
        <v>-11500</v>
      </c>
      <c r="G2365" t="s">
        <v>266</v>
      </c>
    </row>
    <row r="2366" spans="1:7" x14ac:dyDescent="0.3">
      <c r="A2366" s="42">
        <v>45859</v>
      </c>
      <c r="B2366" s="43">
        <v>0.79099537037037038</v>
      </c>
      <c r="C2366" t="s">
        <v>152</v>
      </c>
      <c r="D2366" t="s">
        <v>42</v>
      </c>
      <c r="E2366" t="s">
        <v>481</v>
      </c>
      <c r="F2366">
        <v>-41500</v>
      </c>
      <c r="G2366" t="s">
        <v>266</v>
      </c>
    </row>
    <row r="2367" spans="1:7" x14ac:dyDescent="0.3">
      <c r="A2367" s="42">
        <v>45859</v>
      </c>
      <c r="B2367" s="43">
        <v>0.65218750000000003</v>
      </c>
      <c r="C2367" t="s">
        <v>152</v>
      </c>
      <c r="D2367" t="s">
        <v>50</v>
      </c>
      <c r="E2367" t="s">
        <v>866</v>
      </c>
      <c r="F2367">
        <v>-1200</v>
      </c>
      <c r="G2367" t="s">
        <v>154</v>
      </c>
    </row>
    <row r="2368" spans="1:7" x14ac:dyDescent="0.3">
      <c r="A2368" s="42">
        <v>45859</v>
      </c>
      <c r="B2368" s="43">
        <v>0.64111111111111108</v>
      </c>
      <c r="C2368" t="s">
        <v>152</v>
      </c>
      <c r="D2368" t="s">
        <v>38</v>
      </c>
      <c r="E2368" t="s">
        <v>867</v>
      </c>
      <c r="F2368">
        <v>-146100</v>
      </c>
      <c r="G2368" t="s">
        <v>154</v>
      </c>
    </row>
    <row r="2369" spans="1:7" x14ac:dyDescent="0.3">
      <c r="A2369" s="42">
        <v>45859</v>
      </c>
      <c r="B2369" s="43">
        <v>0.59362268518518524</v>
      </c>
      <c r="C2369" t="s">
        <v>152</v>
      </c>
      <c r="D2369" t="s">
        <v>49</v>
      </c>
      <c r="E2369" t="s">
        <v>868</v>
      </c>
      <c r="F2369">
        <v>-13400</v>
      </c>
      <c r="G2369" t="s">
        <v>154</v>
      </c>
    </row>
    <row r="2370" spans="1:7" x14ac:dyDescent="0.3">
      <c r="A2370" s="42">
        <v>45859</v>
      </c>
      <c r="B2370" s="43">
        <v>0.57048611111111114</v>
      </c>
      <c r="C2370" t="s">
        <v>152</v>
      </c>
      <c r="D2370" t="s">
        <v>50</v>
      </c>
      <c r="E2370" t="s">
        <v>866</v>
      </c>
      <c r="F2370">
        <v>-14540</v>
      </c>
      <c r="G2370" t="s">
        <v>154</v>
      </c>
    </row>
    <row r="2371" spans="1:7" x14ac:dyDescent="0.3">
      <c r="A2371" s="42">
        <v>45859</v>
      </c>
      <c r="B2371" s="43">
        <v>0.54746527777777776</v>
      </c>
      <c r="C2371" t="s">
        <v>152</v>
      </c>
      <c r="D2371" t="s">
        <v>50</v>
      </c>
      <c r="E2371" t="s">
        <v>866</v>
      </c>
      <c r="F2371">
        <v>-38000</v>
      </c>
      <c r="G2371" t="s">
        <v>154</v>
      </c>
    </row>
    <row r="2372" spans="1:7" x14ac:dyDescent="0.3">
      <c r="A2372" s="42">
        <v>45859</v>
      </c>
      <c r="B2372" s="43">
        <v>0.51883101851851854</v>
      </c>
      <c r="C2372" t="s">
        <v>152</v>
      </c>
      <c r="D2372" t="s">
        <v>50</v>
      </c>
      <c r="E2372" t="s">
        <v>866</v>
      </c>
      <c r="F2372">
        <v>-46000</v>
      </c>
      <c r="G2372" t="s">
        <v>154</v>
      </c>
    </row>
    <row r="2373" spans="1:7" x14ac:dyDescent="0.3">
      <c r="A2373" s="42">
        <v>45859</v>
      </c>
      <c r="B2373" s="43">
        <v>0.42700231481481482</v>
      </c>
      <c r="C2373" t="s">
        <v>152</v>
      </c>
      <c r="D2373" t="s">
        <v>36</v>
      </c>
      <c r="E2373" t="s">
        <v>244</v>
      </c>
      <c r="F2373">
        <v>-400</v>
      </c>
      <c r="G2373" t="s">
        <v>161</v>
      </c>
    </row>
    <row r="2374" spans="1:7" x14ac:dyDescent="0.3">
      <c r="A2374" s="42">
        <v>45859</v>
      </c>
      <c r="B2374" s="43">
        <v>0.42700231481481482</v>
      </c>
      <c r="C2374" t="s">
        <v>152</v>
      </c>
      <c r="D2374" t="s">
        <v>36</v>
      </c>
      <c r="E2374" t="s">
        <v>226</v>
      </c>
      <c r="F2374">
        <v>-3000</v>
      </c>
      <c r="G2374" t="s">
        <v>161</v>
      </c>
    </row>
    <row r="2375" spans="1:7" x14ac:dyDescent="0.3">
      <c r="A2375" s="42">
        <v>45859</v>
      </c>
      <c r="B2375" s="43">
        <v>0.38896990740740739</v>
      </c>
      <c r="C2375" t="s">
        <v>155</v>
      </c>
      <c r="D2375" t="s">
        <v>155</v>
      </c>
      <c r="E2375" t="s">
        <v>554</v>
      </c>
      <c r="F2375">
        <v>2431000</v>
      </c>
      <c r="G2375" t="s">
        <v>60</v>
      </c>
    </row>
    <row r="2376" spans="1:7" x14ac:dyDescent="0.3">
      <c r="A2376" s="42">
        <v>45859</v>
      </c>
      <c r="B2376" s="43">
        <v>0.33408564814814817</v>
      </c>
      <c r="C2376" t="s">
        <v>176</v>
      </c>
      <c r="D2376" t="s">
        <v>29</v>
      </c>
      <c r="E2376" t="s">
        <v>29</v>
      </c>
      <c r="F2376">
        <v>4630720</v>
      </c>
      <c r="G2376" t="s">
        <v>60</v>
      </c>
    </row>
    <row r="2377" spans="1:7" x14ac:dyDescent="0.3">
      <c r="A2377" s="42">
        <v>45859</v>
      </c>
      <c r="B2377" s="43">
        <v>0.33408564814814817</v>
      </c>
      <c r="C2377" t="s">
        <v>152</v>
      </c>
      <c r="D2377" t="s">
        <v>38</v>
      </c>
      <c r="E2377" t="s">
        <v>402</v>
      </c>
      <c r="F2377">
        <v>-4200</v>
      </c>
      <c r="G2377" t="s">
        <v>154</v>
      </c>
    </row>
    <row r="2378" spans="1:7" x14ac:dyDescent="0.3">
      <c r="A2378" s="42">
        <v>45859</v>
      </c>
      <c r="B2378" s="43">
        <v>4.2372685185185187E-2</v>
      </c>
      <c r="C2378" t="s">
        <v>152</v>
      </c>
      <c r="D2378" t="s">
        <v>48</v>
      </c>
      <c r="E2378" t="s">
        <v>869</v>
      </c>
      <c r="F2378">
        <v>-33110</v>
      </c>
      <c r="G2378" t="s">
        <v>154</v>
      </c>
    </row>
    <row r="2379" spans="1:7" x14ac:dyDescent="0.3">
      <c r="A2379" s="42">
        <v>45858</v>
      </c>
      <c r="B2379" s="43">
        <v>0.90827546296296291</v>
      </c>
      <c r="C2379" t="s">
        <v>152</v>
      </c>
      <c r="D2379" t="s">
        <v>47</v>
      </c>
      <c r="E2379" t="s">
        <v>209</v>
      </c>
      <c r="F2379">
        <v>-18000</v>
      </c>
      <c r="G2379" t="s">
        <v>154</v>
      </c>
    </row>
    <row r="2380" spans="1:7" x14ac:dyDescent="0.3">
      <c r="A2380" s="42">
        <v>45858</v>
      </c>
      <c r="B2380" s="43">
        <v>0.87410879629629634</v>
      </c>
      <c r="C2380" t="s">
        <v>152</v>
      </c>
      <c r="D2380" t="s">
        <v>38</v>
      </c>
      <c r="E2380" t="s">
        <v>870</v>
      </c>
      <c r="F2380">
        <v>-5500</v>
      </c>
      <c r="G2380" t="s">
        <v>236</v>
      </c>
    </row>
    <row r="2381" spans="1:7" x14ac:dyDescent="0.3">
      <c r="A2381" s="42">
        <v>45858</v>
      </c>
      <c r="B2381" s="43">
        <v>0.83299768518518513</v>
      </c>
      <c r="C2381" t="s">
        <v>155</v>
      </c>
      <c r="D2381" t="s">
        <v>155</v>
      </c>
      <c r="E2381" t="s">
        <v>871</v>
      </c>
      <c r="F2381">
        <v>7000</v>
      </c>
      <c r="G2381" t="s">
        <v>61</v>
      </c>
    </row>
    <row r="2382" spans="1:7" x14ac:dyDescent="0.3">
      <c r="A2382" s="42">
        <v>45858</v>
      </c>
      <c r="B2382" s="43">
        <v>0.75900462962962967</v>
      </c>
      <c r="C2382" t="s">
        <v>152</v>
      </c>
      <c r="D2382" t="s">
        <v>47</v>
      </c>
      <c r="E2382" t="s">
        <v>209</v>
      </c>
      <c r="F2382">
        <v>-10000</v>
      </c>
      <c r="G2382" t="s">
        <v>154</v>
      </c>
    </row>
    <row r="2383" spans="1:7" x14ac:dyDescent="0.3">
      <c r="A2383" s="42">
        <v>45858</v>
      </c>
      <c r="B2383" s="43">
        <v>0.67115740740740737</v>
      </c>
      <c r="C2383" t="s">
        <v>152</v>
      </c>
      <c r="D2383" t="s">
        <v>44</v>
      </c>
      <c r="E2383" t="s">
        <v>444</v>
      </c>
      <c r="F2383">
        <v>-4000</v>
      </c>
      <c r="G2383" t="s">
        <v>186</v>
      </c>
    </row>
    <row r="2384" spans="1:7" x14ac:dyDescent="0.3">
      <c r="A2384" s="42">
        <v>45858</v>
      </c>
      <c r="B2384" s="43">
        <v>0.66746527777777775</v>
      </c>
      <c r="C2384" t="s">
        <v>152</v>
      </c>
      <c r="D2384" t="s">
        <v>44</v>
      </c>
      <c r="E2384" t="s">
        <v>444</v>
      </c>
      <c r="F2384">
        <v>-148260</v>
      </c>
      <c r="G2384" t="s">
        <v>186</v>
      </c>
    </row>
    <row r="2385" spans="1:7" x14ac:dyDescent="0.3">
      <c r="A2385" s="42">
        <v>45858</v>
      </c>
      <c r="B2385" s="43">
        <v>0.62491898148148151</v>
      </c>
      <c r="C2385" t="s">
        <v>152</v>
      </c>
      <c r="D2385" t="s">
        <v>49</v>
      </c>
      <c r="E2385" t="s">
        <v>288</v>
      </c>
      <c r="F2385">
        <v>-5300</v>
      </c>
      <c r="G2385" t="s">
        <v>154</v>
      </c>
    </row>
    <row r="2386" spans="1:7" x14ac:dyDescent="0.3">
      <c r="A2386" s="42">
        <v>45858</v>
      </c>
      <c r="B2386" s="43">
        <v>0.41289351851851852</v>
      </c>
      <c r="C2386" t="s">
        <v>152</v>
      </c>
      <c r="D2386" t="s">
        <v>36</v>
      </c>
      <c r="E2386" t="s">
        <v>244</v>
      </c>
      <c r="F2386">
        <v>-500</v>
      </c>
      <c r="G2386" t="s">
        <v>161</v>
      </c>
    </row>
    <row r="2387" spans="1:7" x14ac:dyDescent="0.3">
      <c r="A2387" s="42">
        <v>45858</v>
      </c>
      <c r="B2387" s="43">
        <v>0.41288194444444443</v>
      </c>
      <c r="C2387" t="s">
        <v>152</v>
      </c>
      <c r="D2387" t="s">
        <v>36</v>
      </c>
      <c r="E2387" t="s">
        <v>226</v>
      </c>
      <c r="F2387">
        <v>-3000</v>
      </c>
      <c r="G2387" t="s">
        <v>161</v>
      </c>
    </row>
    <row r="2388" spans="1:7" x14ac:dyDescent="0.3">
      <c r="A2388" s="42">
        <v>45857</v>
      </c>
      <c r="B2388" s="43">
        <v>0.88400462962962967</v>
      </c>
      <c r="C2388" t="s">
        <v>155</v>
      </c>
      <c r="D2388" t="s">
        <v>155</v>
      </c>
      <c r="E2388" t="s">
        <v>872</v>
      </c>
      <c r="F2388">
        <v>8650</v>
      </c>
      <c r="G2388" t="s">
        <v>61</v>
      </c>
    </row>
    <row r="2389" spans="1:7" x14ac:dyDescent="0.3">
      <c r="A2389" s="42">
        <v>45857</v>
      </c>
      <c r="B2389" s="43">
        <v>0.74486111111111108</v>
      </c>
      <c r="C2389" t="s">
        <v>152</v>
      </c>
      <c r="D2389" t="s">
        <v>38</v>
      </c>
      <c r="E2389" t="s">
        <v>873</v>
      </c>
      <c r="F2389">
        <v>-1500</v>
      </c>
      <c r="G2389" t="s">
        <v>154</v>
      </c>
    </row>
    <row r="2390" spans="1:7" x14ac:dyDescent="0.3">
      <c r="A2390" s="42">
        <v>45857</v>
      </c>
      <c r="B2390" s="43">
        <v>0.73988425925925927</v>
      </c>
      <c r="C2390" t="s">
        <v>155</v>
      </c>
      <c r="D2390" t="s">
        <v>155</v>
      </c>
      <c r="E2390" t="s">
        <v>874</v>
      </c>
      <c r="F2390">
        <v>-23500</v>
      </c>
      <c r="G2390" t="s">
        <v>158</v>
      </c>
    </row>
    <row r="2391" spans="1:7" x14ac:dyDescent="0.3">
      <c r="A2391" s="42">
        <v>45857</v>
      </c>
      <c r="B2391" s="43">
        <v>0.72368055555555555</v>
      </c>
      <c r="C2391" t="s">
        <v>152</v>
      </c>
      <c r="D2391" t="s">
        <v>42</v>
      </c>
      <c r="E2391" t="s">
        <v>518</v>
      </c>
      <c r="F2391">
        <v>-21600</v>
      </c>
      <c r="G2391" t="s">
        <v>154</v>
      </c>
    </row>
    <row r="2392" spans="1:7" x14ac:dyDescent="0.3">
      <c r="A2392" s="42">
        <v>45857</v>
      </c>
      <c r="B2392" s="43">
        <v>0.72082175925925929</v>
      </c>
      <c r="C2392" t="s">
        <v>152</v>
      </c>
      <c r="D2392" t="s">
        <v>42</v>
      </c>
      <c r="E2392" t="s">
        <v>518</v>
      </c>
      <c r="F2392">
        <v>-38000</v>
      </c>
      <c r="G2392" t="s">
        <v>154</v>
      </c>
    </row>
    <row r="2393" spans="1:7" x14ac:dyDescent="0.3">
      <c r="A2393" s="42">
        <v>45857</v>
      </c>
      <c r="B2393" s="43">
        <v>0.70424768518518521</v>
      </c>
      <c r="C2393" t="s">
        <v>152</v>
      </c>
      <c r="D2393" t="s">
        <v>38</v>
      </c>
      <c r="E2393" t="s">
        <v>873</v>
      </c>
      <c r="F2393">
        <v>-6000</v>
      </c>
      <c r="G2393" t="s">
        <v>154</v>
      </c>
    </row>
    <row r="2394" spans="1:7" x14ac:dyDescent="0.3">
      <c r="A2394" s="42">
        <v>45857</v>
      </c>
      <c r="B2394" s="43">
        <v>0.47167824074074072</v>
      </c>
      <c r="C2394" t="s">
        <v>152</v>
      </c>
      <c r="D2394" t="s">
        <v>48</v>
      </c>
      <c r="E2394" t="s">
        <v>875</v>
      </c>
      <c r="F2394">
        <v>-2000</v>
      </c>
      <c r="G2394" t="s">
        <v>154</v>
      </c>
    </row>
    <row r="2395" spans="1:7" x14ac:dyDescent="0.3">
      <c r="A2395" s="42">
        <v>45857</v>
      </c>
      <c r="B2395" s="43">
        <v>0.41486111111111112</v>
      </c>
      <c r="C2395" t="s">
        <v>152</v>
      </c>
      <c r="D2395" t="s">
        <v>36</v>
      </c>
      <c r="E2395" t="s">
        <v>244</v>
      </c>
      <c r="F2395">
        <v>-4000</v>
      </c>
      <c r="G2395" t="s">
        <v>161</v>
      </c>
    </row>
    <row r="2396" spans="1:7" x14ac:dyDescent="0.3">
      <c r="A2396" s="42">
        <v>45856</v>
      </c>
      <c r="B2396" s="43">
        <v>0.71303240740740736</v>
      </c>
      <c r="C2396" t="s">
        <v>155</v>
      </c>
      <c r="D2396" t="s">
        <v>155</v>
      </c>
      <c r="E2396" t="s">
        <v>876</v>
      </c>
      <c r="F2396">
        <v>-8650</v>
      </c>
      <c r="G2396" t="s">
        <v>158</v>
      </c>
    </row>
    <row r="2397" spans="1:7" x14ac:dyDescent="0.3">
      <c r="A2397" s="42">
        <v>45856</v>
      </c>
      <c r="B2397" s="43">
        <v>0.62881944444444449</v>
      </c>
      <c r="C2397" t="s">
        <v>155</v>
      </c>
      <c r="D2397" t="s">
        <v>163</v>
      </c>
      <c r="E2397" t="s">
        <v>877</v>
      </c>
      <c r="F2397">
        <v>2500000</v>
      </c>
      <c r="G2397" t="s">
        <v>61</v>
      </c>
    </row>
    <row r="2398" spans="1:7" x14ac:dyDescent="0.3">
      <c r="A2398" s="42">
        <v>45856</v>
      </c>
      <c r="B2398" s="43">
        <v>0.42071759259259262</v>
      </c>
      <c r="C2398" t="s">
        <v>152</v>
      </c>
      <c r="D2398" t="s">
        <v>36</v>
      </c>
      <c r="E2398" t="s">
        <v>243</v>
      </c>
      <c r="F2398">
        <v>-1500</v>
      </c>
      <c r="G2398" t="s">
        <v>161</v>
      </c>
    </row>
    <row r="2399" spans="1:7" x14ac:dyDescent="0.3">
      <c r="A2399" s="42">
        <v>45856</v>
      </c>
      <c r="B2399" s="43">
        <v>0.42071759259259262</v>
      </c>
      <c r="C2399" t="s">
        <v>152</v>
      </c>
      <c r="D2399" t="s">
        <v>36</v>
      </c>
      <c r="E2399" t="s">
        <v>314</v>
      </c>
      <c r="F2399">
        <v>-3450</v>
      </c>
      <c r="G2399" t="s">
        <v>161</v>
      </c>
    </row>
    <row r="2400" spans="1:7" x14ac:dyDescent="0.3">
      <c r="A2400" s="42">
        <v>45855</v>
      </c>
      <c r="B2400" s="43">
        <v>0.84607638888888892</v>
      </c>
      <c r="C2400" t="s">
        <v>155</v>
      </c>
      <c r="D2400" t="s">
        <v>155</v>
      </c>
      <c r="E2400" t="s">
        <v>878</v>
      </c>
      <c r="F2400">
        <v>-90000</v>
      </c>
      <c r="G2400" t="s">
        <v>158</v>
      </c>
    </row>
    <row r="2401" spans="1:7" x14ac:dyDescent="0.3">
      <c r="A2401" s="42">
        <v>45855</v>
      </c>
      <c r="B2401" s="43">
        <v>0.77725694444444449</v>
      </c>
      <c r="C2401" t="s">
        <v>152</v>
      </c>
      <c r="D2401" t="s">
        <v>40</v>
      </c>
      <c r="E2401" t="s">
        <v>879</v>
      </c>
      <c r="F2401">
        <v>-3500</v>
      </c>
      <c r="G2401" t="s">
        <v>154</v>
      </c>
    </row>
    <row r="2402" spans="1:7" x14ac:dyDescent="0.3">
      <c r="A2402" s="42">
        <v>45855</v>
      </c>
      <c r="B2402" s="43">
        <v>0.41922453703703699</v>
      </c>
      <c r="C2402" t="s">
        <v>152</v>
      </c>
      <c r="D2402" t="s">
        <v>36</v>
      </c>
      <c r="E2402" t="s">
        <v>314</v>
      </c>
      <c r="F2402">
        <v>-2050</v>
      </c>
      <c r="G2402" t="s">
        <v>161</v>
      </c>
    </row>
    <row r="2403" spans="1:7" x14ac:dyDescent="0.3">
      <c r="A2403" s="42">
        <v>45855</v>
      </c>
      <c r="B2403" s="43">
        <v>0.41922453703703699</v>
      </c>
      <c r="C2403" t="s">
        <v>152</v>
      </c>
      <c r="D2403" t="s">
        <v>36</v>
      </c>
      <c r="E2403" t="s">
        <v>226</v>
      </c>
      <c r="F2403">
        <v>-3000</v>
      </c>
      <c r="G2403" t="s">
        <v>161</v>
      </c>
    </row>
    <row r="2404" spans="1:7" x14ac:dyDescent="0.3">
      <c r="A2404" s="42">
        <v>45855</v>
      </c>
      <c r="B2404" s="43">
        <v>0.40689814814814818</v>
      </c>
      <c r="C2404" t="s">
        <v>152</v>
      </c>
      <c r="D2404" t="s">
        <v>49</v>
      </c>
      <c r="E2404" t="s">
        <v>749</v>
      </c>
      <c r="F2404">
        <v>-11274</v>
      </c>
      <c r="G2404" t="s">
        <v>199</v>
      </c>
    </row>
    <row r="2405" spans="1:7" x14ac:dyDescent="0.3">
      <c r="A2405" s="42">
        <v>45855</v>
      </c>
      <c r="B2405" s="43">
        <v>0.40689814814814818</v>
      </c>
      <c r="C2405" t="s">
        <v>152</v>
      </c>
      <c r="D2405" t="s">
        <v>49</v>
      </c>
      <c r="E2405" t="s">
        <v>749</v>
      </c>
      <c r="F2405">
        <v>-29626</v>
      </c>
      <c r="G2405" t="s">
        <v>182</v>
      </c>
    </row>
    <row r="2406" spans="1:7" x14ac:dyDescent="0.3">
      <c r="A2406" s="42">
        <v>45854</v>
      </c>
      <c r="B2406" s="43">
        <v>0.81459490740740736</v>
      </c>
      <c r="C2406" t="s">
        <v>155</v>
      </c>
      <c r="D2406" t="s">
        <v>155</v>
      </c>
      <c r="E2406" t="s">
        <v>880</v>
      </c>
      <c r="F2406">
        <v>90000</v>
      </c>
      <c r="G2406" t="s">
        <v>61</v>
      </c>
    </row>
    <row r="2407" spans="1:7" x14ac:dyDescent="0.3">
      <c r="A2407" s="42">
        <v>45854</v>
      </c>
      <c r="B2407" s="43">
        <v>0.66107638888888887</v>
      </c>
      <c r="C2407" t="s">
        <v>152</v>
      </c>
      <c r="D2407" t="s">
        <v>49</v>
      </c>
      <c r="E2407" t="s">
        <v>881</v>
      </c>
      <c r="F2407">
        <v>-1900</v>
      </c>
      <c r="G2407" t="s">
        <v>154</v>
      </c>
    </row>
    <row r="2408" spans="1:7" x14ac:dyDescent="0.3">
      <c r="A2408" s="42">
        <v>45854</v>
      </c>
      <c r="B2408" s="43">
        <v>0.54267361111111112</v>
      </c>
      <c r="C2408" t="s">
        <v>152</v>
      </c>
      <c r="D2408" t="s">
        <v>49</v>
      </c>
      <c r="E2408" t="s">
        <v>882</v>
      </c>
      <c r="F2408">
        <v>-4700</v>
      </c>
      <c r="G2408" t="s">
        <v>154</v>
      </c>
    </row>
    <row r="2409" spans="1:7" x14ac:dyDescent="0.3">
      <c r="A2409" s="42">
        <v>45854</v>
      </c>
      <c r="B2409" s="43">
        <v>0.47222222222222221</v>
      </c>
      <c r="C2409" t="s">
        <v>152</v>
      </c>
      <c r="D2409" t="s">
        <v>47</v>
      </c>
      <c r="E2409" t="s">
        <v>883</v>
      </c>
      <c r="F2409">
        <v>-800</v>
      </c>
      <c r="G2409" t="s">
        <v>236</v>
      </c>
    </row>
    <row r="2410" spans="1:7" x14ac:dyDescent="0.3">
      <c r="A2410" s="42">
        <v>45854</v>
      </c>
      <c r="B2410" s="43">
        <v>0.4082986111111111</v>
      </c>
      <c r="C2410" t="s">
        <v>152</v>
      </c>
      <c r="D2410" t="s">
        <v>36</v>
      </c>
      <c r="E2410" t="s">
        <v>274</v>
      </c>
      <c r="F2410">
        <v>-3100</v>
      </c>
      <c r="G2410" t="s">
        <v>161</v>
      </c>
    </row>
    <row r="2411" spans="1:7" x14ac:dyDescent="0.3">
      <c r="A2411" s="42">
        <v>45854</v>
      </c>
      <c r="B2411" s="43">
        <v>0.30531249999999999</v>
      </c>
      <c r="C2411" t="s">
        <v>152</v>
      </c>
      <c r="D2411" t="s">
        <v>44</v>
      </c>
      <c r="E2411" t="s">
        <v>636</v>
      </c>
      <c r="F2411">
        <v>-19760</v>
      </c>
      <c r="G2411" t="s">
        <v>154</v>
      </c>
    </row>
    <row r="2412" spans="1:7" x14ac:dyDescent="0.3">
      <c r="A2412" s="42">
        <v>45853</v>
      </c>
      <c r="B2412" s="43">
        <v>0.80096064814814816</v>
      </c>
      <c r="C2412" t="s">
        <v>152</v>
      </c>
      <c r="D2412" t="s">
        <v>44</v>
      </c>
      <c r="E2412" t="s">
        <v>383</v>
      </c>
      <c r="F2412">
        <v>-19500</v>
      </c>
      <c r="G2412" t="s">
        <v>236</v>
      </c>
    </row>
    <row r="2413" spans="1:7" x14ac:dyDescent="0.3">
      <c r="A2413" s="42">
        <v>45853</v>
      </c>
      <c r="B2413" s="43">
        <v>0.77797453703703701</v>
      </c>
      <c r="C2413" t="s">
        <v>152</v>
      </c>
      <c r="D2413" t="s">
        <v>42</v>
      </c>
      <c r="E2413" t="s">
        <v>884</v>
      </c>
      <c r="F2413">
        <v>-45000</v>
      </c>
      <c r="G2413" t="s">
        <v>186</v>
      </c>
    </row>
    <row r="2414" spans="1:7" x14ac:dyDescent="0.3">
      <c r="A2414" s="42">
        <v>45852</v>
      </c>
      <c r="B2414" s="43">
        <v>0.82216435185185188</v>
      </c>
      <c r="C2414" t="s">
        <v>155</v>
      </c>
      <c r="D2414" t="s">
        <v>163</v>
      </c>
      <c r="E2414" t="s">
        <v>7</v>
      </c>
      <c r="F2414">
        <v>-2000000</v>
      </c>
      <c r="G2414" t="s">
        <v>60</v>
      </c>
    </row>
    <row r="2415" spans="1:7" x14ac:dyDescent="0.3">
      <c r="A2415" s="42">
        <v>45852</v>
      </c>
      <c r="B2415" s="43">
        <v>0.82216435185185188</v>
      </c>
      <c r="C2415" t="s">
        <v>155</v>
      </c>
      <c r="D2415" t="s">
        <v>163</v>
      </c>
      <c r="E2415" t="s">
        <v>7</v>
      </c>
      <c r="F2415">
        <v>2000000</v>
      </c>
      <c r="G2415" t="s">
        <v>61</v>
      </c>
    </row>
    <row r="2416" spans="1:7" x14ac:dyDescent="0.3">
      <c r="A2416" s="42">
        <v>45852</v>
      </c>
      <c r="B2416" s="43">
        <v>0.82100694444444444</v>
      </c>
      <c r="C2416" t="s">
        <v>155</v>
      </c>
      <c r="D2416" t="s">
        <v>213</v>
      </c>
      <c r="E2416" t="s">
        <v>326</v>
      </c>
      <c r="F2416">
        <v>-1426638</v>
      </c>
      <c r="G2416" t="s">
        <v>61</v>
      </c>
    </row>
    <row r="2417" spans="1:7" x14ac:dyDescent="0.3">
      <c r="A2417" s="42">
        <v>45852</v>
      </c>
      <c r="B2417" s="43">
        <v>0.79974537037037041</v>
      </c>
      <c r="C2417" t="s">
        <v>155</v>
      </c>
      <c r="D2417" t="s">
        <v>213</v>
      </c>
      <c r="E2417" t="s">
        <v>885</v>
      </c>
      <c r="F2417">
        <v>-1155588</v>
      </c>
      <c r="G2417" t="s">
        <v>61</v>
      </c>
    </row>
    <row r="2418" spans="1:7" x14ac:dyDescent="0.3">
      <c r="A2418" s="42">
        <v>45852</v>
      </c>
      <c r="B2418" s="43">
        <v>0.78547453703703707</v>
      </c>
      <c r="C2418" t="s">
        <v>152</v>
      </c>
      <c r="D2418" t="s">
        <v>45</v>
      </c>
      <c r="E2418" t="s">
        <v>886</v>
      </c>
      <c r="F2418">
        <v>-10000</v>
      </c>
      <c r="G2418" t="s">
        <v>186</v>
      </c>
    </row>
    <row r="2419" spans="1:7" x14ac:dyDescent="0.3">
      <c r="A2419" s="42">
        <v>45852</v>
      </c>
      <c r="B2419" s="43">
        <v>0.61517361111111113</v>
      </c>
      <c r="C2419" t="s">
        <v>152</v>
      </c>
      <c r="D2419" t="s">
        <v>40</v>
      </c>
      <c r="E2419" t="s">
        <v>887</v>
      </c>
      <c r="F2419">
        <v>-49900</v>
      </c>
      <c r="G2419" t="s">
        <v>186</v>
      </c>
    </row>
    <row r="2420" spans="1:7" x14ac:dyDescent="0.3">
      <c r="A2420" s="42">
        <v>45852</v>
      </c>
      <c r="B2420" s="43">
        <v>0.61508101851851849</v>
      </c>
      <c r="C2420" t="s">
        <v>152</v>
      </c>
      <c r="D2420" t="s">
        <v>40</v>
      </c>
      <c r="E2420" t="s">
        <v>879</v>
      </c>
      <c r="F2420">
        <v>-70000</v>
      </c>
      <c r="G2420" t="s">
        <v>504</v>
      </c>
    </row>
    <row r="2421" spans="1:7" x14ac:dyDescent="0.3">
      <c r="A2421" s="42">
        <v>45852</v>
      </c>
      <c r="B2421" s="43">
        <v>0.42600694444444442</v>
      </c>
      <c r="C2421" t="s">
        <v>152</v>
      </c>
      <c r="D2421" t="s">
        <v>36</v>
      </c>
      <c r="E2421" t="s">
        <v>244</v>
      </c>
      <c r="F2421">
        <v>-500</v>
      </c>
      <c r="G2421" t="s">
        <v>161</v>
      </c>
    </row>
    <row r="2422" spans="1:7" x14ac:dyDescent="0.3">
      <c r="A2422" s="42">
        <v>45852</v>
      </c>
      <c r="B2422" s="43">
        <v>0.42600694444444442</v>
      </c>
      <c r="C2422" t="s">
        <v>152</v>
      </c>
      <c r="D2422" t="s">
        <v>36</v>
      </c>
      <c r="E2422" t="s">
        <v>226</v>
      </c>
      <c r="F2422">
        <v>-3000</v>
      </c>
      <c r="G2422" t="s">
        <v>161</v>
      </c>
    </row>
    <row r="2423" spans="1:7" x14ac:dyDescent="0.3">
      <c r="A2423" s="42">
        <v>45852</v>
      </c>
      <c r="B2423" s="43">
        <v>0.36542824074074082</v>
      </c>
      <c r="C2423" t="s">
        <v>152</v>
      </c>
      <c r="D2423" t="s">
        <v>50</v>
      </c>
      <c r="E2423" t="s">
        <v>184</v>
      </c>
      <c r="F2423">
        <v>-1600</v>
      </c>
      <c r="G2423" t="s">
        <v>180</v>
      </c>
    </row>
    <row r="2424" spans="1:7" x14ac:dyDescent="0.3">
      <c r="A2424" s="42">
        <v>45852</v>
      </c>
      <c r="B2424" s="43">
        <v>0.30416666666666659</v>
      </c>
      <c r="C2424" t="s">
        <v>152</v>
      </c>
      <c r="D2424" t="s">
        <v>37</v>
      </c>
      <c r="E2424" t="s">
        <v>888</v>
      </c>
      <c r="F2424">
        <v>-38100</v>
      </c>
      <c r="G2424" t="s">
        <v>182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choi</cp:lastModifiedBy>
  <dcterms:created xsi:type="dcterms:W3CDTF">2026-07-13T09:48:18Z</dcterms:created>
  <dcterms:modified xsi:type="dcterms:W3CDTF">2026-07-20T13:57:40Z</dcterms:modified>
</cp:coreProperties>
</file>